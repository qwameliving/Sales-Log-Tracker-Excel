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ngstoneselasidussey/Desktop/AGRISOLVE/LIVING/MY GITHUB  WORK/"/>
    </mc:Choice>
  </mc:AlternateContent>
  <xr:revisionPtr revIDLastSave="0" documentId="13_ncr:1_{6B07FF92-4E13-8646-B013-FEAEDD446AF7}" xr6:coauthVersionLast="47" xr6:coauthVersionMax="47" xr10:uidLastSave="{00000000-0000-0000-0000-000000000000}"/>
  <bookViews>
    <workbookView xWindow="1900" yWindow="2460" windowWidth="28340" windowHeight="17720" xr2:uid="{6EFC0FC6-9C6E-48F4-B26C-DD88FF944550}"/>
  </bookViews>
  <sheets>
    <sheet name="Detailed Sales Report" sheetId="1" r:id="rId1"/>
    <sheet name="Daily Sales Summary Report" sheetId="2" r:id="rId2"/>
  </sheets>
  <externalReferences>
    <externalReference r:id="rId3"/>
  </externalReferences>
  <definedNames>
    <definedName name="_Namelist1">'Daily Sales Summary Report'!$B$6:$B$47</definedName>
    <definedName name="_Productname">'[1]DAILY SALES SUMMARY REPORT'!$B$6:$B$39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7" i="2"/>
  <c r="I8" i="2"/>
  <c r="I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H25" i="2" l="1" a="1"/>
  <c r="H25" i="2" s="1"/>
  <c r="H26" i="2" a="1"/>
  <c r="H26" i="2" s="1"/>
  <c r="D26" i="1"/>
  <c r="D27" i="1"/>
  <c r="D28" i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7" i="2" a="1"/>
  <c r="H7" i="2" s="1"/>
  <c r="H8" i="2" a="1"/>
  <c r="H8" i="2" s="1"/>
  <c r="H9" i="2" a="1"/>
  <c r="H9" i="2" s="1"/>
  <c r="H10" i="2" a="1"/>
  <c r="H10" i="2" s="1"/>
  <c r="H6" i="2" a="1"/>
  <c r="H6" i="2" s="1"/>
  <c r="K6" i="2" s="1"/>
  <c r="D7" i="1" l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J6" i="2" s="1"/>
  <c r="D19" i="1"/>
  <c r="G19" i="1" s="1"/>
  <c r="J7" i="2" s="1"/>
  <c r="D20" i="1"/>
  <c r="G20" i="1" s="1"/>
  <c r="J8" i="2" s="1"/>
  <c r="D21" i="1"/>
  <c r="G21" i="1" s="1"/>
  <c r="J9" i="2" s="1"/>
  <c r="D22" i="1"/>
  <c r="G22" i="1" s="1"/>
  <c r="J10" i="2" s="1"/>
  <c r="D23" i="1"/>
  <c r="G23" i="1" s="1"/>
  <c r="J11" i="2" s="1"/>
  <c r="D24" i="1"/>
  <c r="G24" i="1" s="1"/>
  <c r="J12" i="2" s="1"/>
  <c r="D25" i="1"/>
  <c r="G25" i="1" s="1"/>
  <c r="J13" i="2" s="1"/>
  <c r="G26" i="1"/>
  <c r="J14" i="2" s="1"/>
  <c r="G27" i="1"/>
  <c r="J15" i="2" s="1"/>
  <c r="G28" i="1"/>
  <c r="J16" i="2" s="1"/>
  <c r="D29" i="1"/>
  <c r="G29" i="1" s="1"/>
  <c r="J17" i="2" s="1"/>
  <c r="D30" i="1"/>
  <c r="G30" i="1" s="1"/>
  <c r="J18" i="2" s="1"/>
  <c r="D31" i="1"/>
  <c r="G31" i="1" s="1"/>
  <c r="J19" i="2" s="1"/>
  <c r="D32" i="1"/>
  <c r="G32" i="1" s="1"/>
  <c r="J20" i="2" s="1"/>
  <c r="D33" i="1"/>
  <c r="G33" i="1" s="1"/>
  <c r="J21" i="2" s="1"/>
  <c r="D34" i="1"/>
  <c r="G34" i="1" s="1"/>
  <c r="J22" i="2" s="1"/>
  <c r="D35" i="1"/>
  <c r="G35" i="1" s="1"/>
  <c r="J23" i="2" s="1"/>
  <c r="D36" i="1"/>
  <c r="G36" i="1" s="1"/>
  <c r="J24" i="2" s="1"/>
  <c r="D37" i="1"/>
  <c r="G37" i="1" s="1"/>
  <c r="J25" i="2" s="1"/>
  <c r="G38" i="1"/>
  <c r="J26" i="2" s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D6" i="1"/>
  <c r="G6" i="1" s="1"/>
  <c r="F44" i="2" l="1"/>
  <c r="F45" i="2"/>
  <c r="F46" i="2"/>
  <c r="F8" i="2"/>
  <c r="K43" i="2"/>
  <c r="F9" i="2"/>
  <c r="F10" i="2"/>
  <c r="F11" i="2"/>
  <c r="K9" i="2" l="1"/>
  <c r="K44" i="2"/>
  <c r="K47" i="2"/>
  <c r="K46" i="2"/>
  <c r="K45" i="2"/>
  <c r="K33" i="2"/>
  <c r="K11" i="2"/>
  <c r="F43" i="2"/>
  <c r="F42" i="2"/>
  <c r="F41" i="2"/>
  <c r="K10" i="2" l="1"/>
  <c r="K41" i="2"/>
  <c r="K42" i="2"/>
  <c r="K49" i="2" l="1"/>
  <c r="K48" i="2"/>
  <c r="I48" i="2"/>
  <c r="F40" i="2"/>
  <c r="K40" i="2" s="1"/>
  <c r="F39" i="2"/>
  <c r="K39" i="2" s="1"/>
  <c r="F38" i="2"/>
  <c r="K38" i="2" s="1"/>
  <c r="F37" i="2"/>
  <c r="K37" i="2" s="1"/>
  <c r="F36" i="2"/>
  <c r="K36" i="2" s="1"/>
  <c r="F35" i="2"/>
  <c r="K35" i="2" s="1"/>
  <c r="F34" i="2"/>
  <c r="K34" i="2" s="1"/>
  <c r="F32" i="2"/>
  <c r="K32" i="2" s="1"/>
  <c r="F31" i="2"/>
  <c r="K31" i="2" s="1"/>
  <c r="F30" i="2"/>
  <c r="K30" i="2" s="1"/>
  <c r="F29" i="2"/>
  <c r="K29" i="2" s="1"/>
  <c r="F28" i="2"/>
  <c r="K28" i="2" s="1"/>
  <c r="F27" i="2"/>
  <c r="K27" i="2" s="1"/>
  <c r="F26" i="2"/>
  <c r="K26" i="2" s="1"/>
  <c r="F25" i="2"/>
  <c r="K25" i="2" s="1"/>
  <c r="F24" i="2"/>
  <c r="K24" i="2" s="1"/>
  <c r="F23" i="2"/>
  <c r="K23" i="2" s="1"/>
  <c r="F22" i="2"/>
  <c r="K22" i="2" s="1"/>
  <c r="F21" i="2"/>
  <c r="K21" i="2" s="1"/>
  <c r="F20" i="2"/>
  <c r="K20" i="2" s="1"/>
  <c r="F19" i="2"/>
  <c r="K19" i="2" s="1"/>
  <c r="F18" i="2"/>
  <c r="K18" i="2" s="1"/>
  <c r="F17" i="2"/>
  <c r="K17" i="2" s="1"/>
  <c r="F16" i="2"/>
  <c r="K16" i="2" s="1"/>
  <c r="F15" i="2"/>
  <c r="K15" i="2" s="1"/>
  <c r="F14" i="2"/>
  <c r="K14" i="2" s="1"/>
  <c r="F13" i="2"/>
  <c r="K13" i="2" s="1"/>
  <c r="F12" i="2"/>
  <c r="K12" i="2" s="1"/>
  <c r="K8" i="2"/>
  <c r="F7" i="2"/>
  <c r="K7" i="2" s="1"/>
  <c r="F6" i="2"/>
  <c r="F205" i="1"/>
  <c r="G2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<sst xmlns="http://schemas.openxmlformats.org/spreadsheetml/2006/main" count="52" uniqueCount="52">
  <si>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Invoice Number</t>
  </si>
  <si>
    <r>
      <t xml:space="preserve">Products </t>
    </r>
    <r>
      <rPr>
        <b/>
        <sz val="11"/>
        <color rgb="FFFF0000"/>
        <rFont val="Aptos Narrow"/>
        <family val="2"/>
        <scheme val="minor"/>
      </rPr>
      <t>(Use Drop Down)</t>
    </r>
  </si>
  <si>
    <r>
      <t xml:space="preserve">Selling Price                 </t>
    </r>
    <r>
      <rPr>
        <b/>
        <sz val="11"/>
        <color rgb="FFFF0000"/>
        <rFont val="Aptos Narrow"/>
        <family val="2"/>
        <scheme val="minor"/>
      </rPr>
      <t>(edit prohibited)</t>
    </r>
  </si>
  <si>
    <t>Quantities</t>
  </si>
  <si>
    <r>
      <t xml:space="preserve">Discount </t>
    </r>
    <r>
      <rPr>
        <b/>
        <sz val="11"/>
        <color rgb="FFFF0000"/>
        <rFont val="Aptos Narrow"/>
        <family val="2"/>
        <scheme val="minor"/>
      </rPr>
      <t>(Approval required)</t>
    </r>
  </si>
  <si>
    <r>
      <t>Total Paid (Ghs) (</t>
    </r>
    <r>
      <rPr>
        <b/>
        <sz val="11"/>
        <color rgb="FFFF0000"/>
        <rFont val="Aptos Narrow (Body)"/>
      </rPr>
      <t>edit prohibited)</t>
    </r>
  </si>
  <si>
    <t>TOTAL</t>
  </si>
  <si>
    <t>DATE</t>
  </si>
  <si>
    <t>MONTH</t>
  </si>
  <si>
    <t>S/N</t>
  </si>
  <si>
    <t>Product Name</t>
  </si>
  <si>
    <r>
      <t xml:space="preserve">Selling Price (Ghs)                    </t>
    </r>
    <r>
      <rPr>
        <b/>
        <sz val="11"/>
        <color rgb="FFFF0000"/>
        <rFont val="Aptos Narrow"/>
        <family val="2"/>
        <scheme val="minor"/>
      </rPr>
      <t>edit prohibited</t>
    </r>
  </si>
  <si>
    <r>
      <t xml:space="preserve">Opening Stock Balance </t>
    </r>
    <r>
      <rPr>
        <b/>
        <sz val="11"/>
        <color rgb="FFFF0000"/>
        <rFont val="Aptos Narrow"/>
        <family val="2"/>
        <scheme val="minor"/>
      </rPr>
      <t>(edit prohibited)</t>
    </r>
  </si>
  <si>
    <r>
      <t xml:space="preserve">Total stock available for sale (in qty)                        </t>
    </r>
    <r>
      <rPr>
        <b/>
        <sz val="11"/>
        <color rgb="FFFF0000"/>
        <rFont val="Aptos Narrow"/>
        <family val="2"/>
        <scheme val="minor"/>
      </rPr>
      <t>edit prohibited</t>
    </r>
  </si>
  <si>
    <t>Stock Transfered Out (in qty)</t>
  </si>
  <si>
    <t>Currrent Day Sale (in qty)</t>
  </si>
  <si>
    <r>
      <t xml:space="preserve">Discount Allowed                      (in value)                  </t>
    </r>
    <r>
      <rPr>
        <b/>
        <sz val="11"/>
        <color rgb="FFFF0000"/>
        <rFont val="Aptos Narrow"/>
        <family val="2"/>
        <scheme val="minor"/>
      </rPr>
      <t>approvals required</t>
    </r>
  </si>
  <si>
    <r>
      <t xml:space="preserve">Total Value of Sale (Ghs)           </t>
    </r>
    <r>
      <rPr>
        <b/>
        <sz val="11"/>
        <color rgb="FFFF0000"/>
        <rFont val="Aptos Narrow"/>
        <family val="2"/>
        <scheme val="minor"/>
      </rPr>
      <t>edit prohibited</t>
    </r>
  </si>
  <si>
    <r>
      <t xml:space="preserve">Closing Stock Balance </t>
    </r>
    <r>
      <rPr>
        <b/>
        <sz val="11"/>
        <color rgb="FFFF0000"/>
        <rFont val="Aptos Narrow"/>
        <family val="2"/>
        <scheme val="minor"/>
      </rPr>
      <t>(edit prohibited)</t>
    </r>
  </si>
  <si>
    <r>
      <t xml:space="preserve">NOTES                                      </t>
    </r>
    <r>
      <rPr>
        <b/>
        <sz val="11"/>
        <color rgb="FFFF0000"/>
        <rFont val="Aptos Narrow"/>
        <family val="2"/>
        <scheme val="minor"/>
      </rPr>
      <t xml:space="preserve">    (indicate recipient, location, and waybill number for stock transfers out)</t>
    </r>
  </si>
  <si>
    <t>REPORT PREPARED BY:</t>
  </si>
  <si>
    <t>DESIGNATION:</t>
  </si>
  <si>
    <t>HEAD OFFICER REPORT REVIEW REMARKS</t>
  </si>
  <si>
    <t>NAME OF OFFICER</t>
  </si>
  <si>
    <t>_______________________________</t>
  </si>
  <si>
    <r>
      <rPr>
        <b/>
        <sz val="12"/>
        <rFont val="Aptos Narrow"/>
        <family val="2"/>
        <scheme val="minor"/>
      </rPr>
      <t xml:space="preserve">TOTAL </t>
    </r>
    <r>
      <rPr>
        <b/>
        <sz val="12"/>
        <color rgb="FFFF0000"/>
        <rFont val="Aptos Narrow"/>
        <family val="2"/>
        <scheme val="minor"/>
      </rPr>
      <t>(edit prohibited)</t>
    </r>
  </si>
  <si>
    <t xml:space="preserve">LIVINGSTONE 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</si>
  <si>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</si>
  <si>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</si>
  <si>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</si>
  <si>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</si>
  <si>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</si>
  <si>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</si>
  <si>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</si>
  <si>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</si>
  <si>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</si>
  <si>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</si>
  <si>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</si>
  <si>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</si>
  <si>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</si>
  <si>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</si>
  <si>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</si>
  <si>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</si>
  <si>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</si>
  <si>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</si>
  <si>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</si>
  <si>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</si>
  <si>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SALES SUMMARY REPORT</t>
  </si>
  <si>
    <t xml:space="preserve">LIVING </t>
  </si>
  <si>
    <t>Stock Received In       (in qty)</t>
  </si>
  <si>
    <t>SALES DETAILS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</si>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</sst>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 (Body)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rgb="FF000000"/>
      <name val="Aptos Narrow"/>
      <family val="2"/>
    </font>
    <font>
      <sz val="10"/>
      <name val="Aptos Narrow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103">
    <xf numFmtId="0" fontId="0" fillId="0" borderId="0" xfId="0"/>
    <xf numFmtId="0" fontId="4" fillId="5" borderId="5" xfId="2" applyFill="1" applyBorder="1" applyAlignment="1" applyProtection="1">
      <alignment horizontal="center" vertical="center" wrapText="1"/>
    </xf>
    <xf numFmtId="0" fontId="2" fillId="3" borderId="5" xfId="2" applyFont="1" applyFill="1" applyBorder="1" applyAlignment="1" applyProtection="1">
      <alignment horizontal="center"/>
      <protection locked="0"/>
    </xf>
    <xf numFmtId="0" fontId="2" fillId="3" borderId="5" xfId="2" applyFont="1" applyFill="1" applyBorder="1" applyAlignment="1" applyProtection="1">
      <alignment horizontal="right"/>
      <protection locked="0"/>
    </xf>
    <xf numFmtId="0" fontId="4" fillId="3" borderId="5" xfId="2" applyFill="1" applyBorder="1" applyAlignment="1" applyProtection="1">
      <alignment horizontal="center"/>
      <protection locked="0"/>
    </xf>
    <xf numFmtId="14" fontId="15" fillId="5" borderId="0" xfId="0" applyNumberFormat="1" applyFont="1" applyFill="1" applyProtection="1">
      <protection locked="0"/>
    </xf>
    <xf numFmtId="0" fontId="2" fillId="7" borderId="5" xfId="2" applyFont="1" applyFill="1" applyBorder="1" applyAlignment="1" applyProtection="1">
      <alignment horizontal="center"/>
    </xf>
    <xf numFmtId="164" fontId="4" fillId="7" borderId="6" xfId="1" applyFont="1" applyFill="1" applyBorder="1" applyAlignment="1" applyProtection="1">
      <alignment horizontal="center"/>
    </xf>
    <xf numFmtId="0" fontId="4" fillId="7" borderId="5" xfId="2" applyFill="1" applyBorder="1" applyAlignment="1" applyProtection="1">
      <alignment horizontal="center"/>
    </xf>
    <xf numFmtId="0" fontId="5" fillId="2" borderId="0" xfId="0" applyFon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8" fillId="4" borderId="0" xfId="0" applyFont="1" applyFill="1" applyProtection="1">
      <protection locked="0"/>
    </xf>
    <xf numFmtId="0" fontId="4" fillId="5" borderId="5" xfId="2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3" fillId="5" borderId="0" xfId="0" applyFont="1" applyFill="1" applyAlignment="1" applyProtection="1">
      <alignment horizontal="center"/>
      <protection locked="0"/>
    </xf>
    <xf numFmtId="164" fontId="13" fillId="5" borderId="0" xfId="0" applyNumberFormat="1" applyFont="1" applyFill="1" applyAlignment="1" applyProtection="1">
      <alignment horizontal="center"/>
      <protection locked="0"/>
    </xf>
    <xf numFmtId="0" fontId="13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Alignment="1">
      <alignment horizontal="center"/>
    </xf>
    <xf numFmtId="0" fontId="8" fillId="4" borderId="0" xfId="0" applyFont="1" applyFill="1"/>
    <xf numFmtId="0" fontId="7" fillId="5" borderId="3" xfId="0" applyFont="1" applyFill="1" applyBorder="1"/>
    <xf numFmtId="164" fontId="13" fillId="5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7" fillId="5" borderId="4" xfId="0" applyFont="1" applyFill="1" applyBorder="1"/>
    <xf numFmtId="0" fontId="7" fillId="3" borderId="0" xfId="0" applyFont="1" applyFill="1"/>
    <xf numFmtId="0" fontId="3" fillId="2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14" fillId="5" borderId="0" xfId="0" applyFont="1" applyFill="1" applyProtection="1">
      <protection locked="0"/>
    </xf>
    <xf numFmtId="0" fontId="15" fillId="5" borderId="0" xfId="0" applyFont="1" applyFill="1" applyProtection="1">
      <protection locked="0"/>
    </xf>
    <xf numFmtId="17" fontId="15" fillId="5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4" fillId="6" borderId="20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6" borderId="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Protection="1">
      <protection locked="0"/>
    </xf>
    <xf numFmtId="165" fontId="12" fillId="0" borderId="6" xfId="1" applyNumberFormat="1" applyFont="1" applyBorder="1" applyProtection="1">
      <protection locked="0"/>
    </xf>
    <xf numFmtId="165" fontId="12" fillId="6" borderId="6" xfId="1" applyNumberFormat="1" applyFont="1" applyFill="1" applyBorder="1" applyProtection="1">
      <protection locked="0"/>
    </xf>
    <xf numFmtId="0" fontId="0" fillId="0" borderId="5" xfId="0" applyBorder="1" applyProtection="1">
      <protection locked="0"/>
    </xf>
    <xf numFmtId="165" fontId="12" fillId="0" borderId="6" xfId="1" applyNumberFormat="1" applyFont="1" applyFill="1" applyBorder="1" applyProtection="1">
      <protection locked="0"/>
    </xf>
    <xf numFmtId="0" fontId="12" fillId="6" borderId="9" xfId="0" applyFont="1" applyFill="1" applyBorder="1" applyProtection="1">
      <protection locked="0"/>
    </xf>
    <xf numFmtId="0" fontId="12" fillId="0" borderId="0" xfId="0" applyFont="1" applyProtection="1">
      <protection locked="0"/>
    </xf>
    <xf numFmtId="0" fontId="12" fillId="0" borderId="10" xfId="0" applyFont="1" applyBorder="1" applyProtection="1">
      <protection locked="0"/>
    </xf>
    <xf numFmtId="165" fontId="12" fillId="0" borderId="5" xfId="1" applyNumberFormat="1" applyFont="1" applyBorder="1" applyProtection="1">
      <protection locked="0"/>
    </xf>
    <xf numFmtId="0" fontId="12" fillId="6" borderId="11" xfId="0" applyFont="1" applyFill="1" applyBorder="1" applyProtection="1">
      <protection locked="0"/>
    </xf>
    <xf numFmtId="0" fontId="1" fillId="0" borderId="5" xfId="0" applyFont="1" applyBorder="1" applyAlignment="1" applyProtection="1">
      <alignment horizontal="center" wrapText="1"/>
      <protection locked="0"/>
    </xf>
    <xf numFmtId="165" fontId="1" fillId="0" borderId="5" xfId="1" applyNumberFormat="1" applyFont="1" applyBorder="1" applyAlignment="1" applyProtection="1">
      <protection locked="0"/>
    </xf>
    <xf numFmtId="165" fontId="1" fillId="0" borderId="21" xfId="1" applyNumberFormat="1" applyFont="1" applyBorder="1" applyAlignment="1" applyProtection="1">
      <protection locked="0"/>
    </xf>
    <xf numFmtId="165" fontId="12" fillId="0" borderId="5" xfId="1" applyNumberFormat="1" applyFont="1" applyFill="1" applyBorder="1" applyProtection="1">
      <protection locked="0"/>
    </xf>
    <xf numFmtId="165" fontId="12" fillId="6" borderId="5" xfId="1" applyNumberFormat="1" applyFont="1" applyFill="1" applyBorder="1" applyProtection="1">
      <protection locked="0"/>
    </xf>
    <xf numFmtId="165" fontId="13" fillId="0" borderId="2" xfId="1" applyNumberFormat="1" applyFont="1" applyBorder="1" applyAlignment="1" applyProtection="1">
      <alignment wrapText="1"/>
      <protection locked="0"/>
    </xf>
    <xf numFmtId="165" fontId="0" fillId="0" borderId="13" xfId="1" applyNumberFormat="1" applyFont="1" applyBorder="1" applyProtection="1">
      <protection locked="0"/>
    </xf>
    <xf numFmtId="165" fontId="15" fillId="0" borderId="13" xfId="1" applyNumberFormat="1" applyFont="1" applyBorder="1" applyProtection="1">
      <protection locked="0"/>
    </xf>
    <xf numFmtId="165" fontId="12" fillId="0" borderId="22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0" fontId="0" fillId="3" borderId="0" xfId="0" applyFill="1" applyProtection="1">
      <protection locked="0"/>
    </xf>
    <xf numFmtId="0" fontId="4" fillId="3" borderId="16" xfId="0" applyFont="1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3" borderId="19" xfId="0" applyFill="1" applyBorder="1" applyProtection="1">
      <protection locked="0"/>
    </xf>
    <xf numFmtId="0" fontId="4" fillId="3" borderId="19" xfId="0" applyFont="1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12" fillId="0" borderId="11" xfId="0" applyFont="1" applyBorder="1" applyProtection="1">
      <protection locked="0"/>
    </xf>
    <xf numFmtId="165" fontId="1" fillId="0" borderId="5" xfId="1" applyNumberFormat="1" applyFont="1" applyFill="1" applyBorder="1" applyAlignment="1" applyProtection="1">
      <protection locked="0"/>
    </xf>
    <xf numFmtId="165" fontId="1" fillId="0" borderId="21" xfId="1" applyNumberFormat="1" applyFont="1" applyFill="1" applyBorder="1" applyAlignment="1" applyProtection="1">
      <protection locked="0"/>
    </xf>
    <xf numFmtId="0" fontId="17" fillId="0" borderId="5" xfId="0" applyFont="1" applyBorder="1" applyAlignment="1">
      <alignment horizontal="right"/>
    </xf>
    <xf numFmtId="0" fontId="17" fillId="0" borderId="5" xfId="0" applyFont="1" applyBorder="1"/>
    <xf numFmtId="164" fontId="17" fillId="0" borderId="5" xfId="1" applyFont="1" applyFill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/>
    <xf numFmtId="0" fontId="18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17" fontId="7" fillId="5" borderId="3" xfId="0" applyNumberFormat="1" applyFont="1" applyFill="1" applyBorder="1" applyProtection="1">
      <protection locked="0"/>
    </xf>
    <xf numFmtId="0" fontId="0" fillId="7" borderId="5" xfId="0" applyFill="1" applyBorder="1"/>
    <xf numFmtId="164" fontId="4" fillId="3" borderId="5" xfId="1" applyFont="1" applyFill="1" applyBorder="1" applyAlignment="1" applyProtection="1">
      <alignment horizontal="center"/>
      <protection locked="0"/>
    </xf>
    <xf numFmtId="164" fontId="3" fillId="2" borderId="0" xfId="1" applyFont="1" applyFill="1" applyProtection="1">
      <protection locked="0"/>
    </xf>
    <xf numFmtId="164" fontId="0" fillId="0" borderId="0" xfId="1" applyFont="1" applyProtection="1">
      <protection locked="0"/>
    </xf>
    <xf numFmtId="164" fontId="14" fillId="5" borderId="0" xfId="1" applyFont="1" applyFill="1" applyAlignment="1" applyProtection="1">
      <alignment horizontal="right"/>
      <protection locked="0"/>
    </xf>
    <xf numFmtId="164" fontId="4" fillId="0" borderId="3" xfId="1" applyFont="1" applyBorder="1" applyAlignment="1" applyProtection="1">
      <alignment horizontal="center" vertical="center" wrapText="1"/>
      <protection locked="0"/>
    </xf>
    <xf numFmtId="164" fontId="12" fillId="0" borderId="6" xfId="1" applyFont="1" applyFill="1" applyBorder="1" applyProtection="1">
      <protection locked="0"/>
    </xf>
    <xf numFmtId="164" fontId="0" fillId="3" borderId="15" xfId="1" applyFont="1" applyFill="1" applyBorder="1" applyProtection="1">
      <protection locked="0"/>
    </xf>
    <xf numFmtId="164" fontId="0" fillId="3" borderId="0" xfId="1" applyFont="1" applyFill="1" applyProtection="1">
      <protection locked="0"/>
    </xf>
    <xf numFmtId="164" fontId="0" fillId="3" borderId="13" xfId="1" applyFont="1" applyFill="1" applyBorder="1" applyProtection="1">
      <protection locked="0"/>
    </xf>
    <xf numFmtId="14" fontId="7" fillId="3" borderId="0" xfId="0" applyNumberFormat="1" applyFont="1" applyFill="1" applyAlignment="1" applyProtection="1">
      <alignment horizontal="center"/>
      <protection locked="0"/>
    </xf>
    <xf numFmtId="14" fontId="8" fillId="4" borderId="0" xfId="0" applyNumberFormat="1" applyFont="1" applyFill="1" applyProtection="1">
      <protection locked="0"/>
    </xf>
    <xf numFmtId="14" fontId="4" fillId="5" borderId="5" xfId="2" applyNumberFormat="1" applyFill="1" applyBorder="1" applyAlignment="1" applyProtection="1">
      <alignment horizontal="center" vertical="center" wrapText="1"/>
      <protection locked="0"/>
    </xf>
    <xf numFmtId="14" fontId="2" fillId="3" borderId="5" xfId="2" applyNumberFormat="1" applyFont="1" applyFill="1" applyBorder="1" applyAlignment="1" applyProtection="1">
      <alignment horizontal="center"/>
      <protection locked="0"/>
    </xf>
    <xf numFmtId="14" fontId="0" fillId="3" borderId="5" xfId="2" applyNumberFormat="1" applyFont="1" applyFill="1" applyBorder="1" applyAlignment="1" applyProtection="1">
      <alignment horizontal="center"/>
      <protection locked="0"/>
    </xf>
    <xf numFmtId="14" fontId="0" fillId="3" borderId="6" xfId="2" applyNumberFormat="1" applyFont="1" applyFill="1" applyBorder="1" applyAlignment="1" applyProtection="1">
      <alignment horizontal="center"/>
      <protection locked="0"/>
    </xf>
    <xf numFmtId="14" fontId="4" fillId="3" borderId="5" xfId="2" applyNumberFormat="1" applyFill="1" applyBorder="1" applyAlignment="1" applyProtection="1">
      <alignment horizontal="center"/>
      <protection locked="0"/>
    </xf>
    <xf numFmtId="14" fontId="13" fillId="5" borderId="0" xfId="0" applyNumberFormat="1" applyFont="1" applyFill="1" applyAlignment="1" applyProtection="1">
      <alignment horizontal="center"/>
      <protection locked="0"/>
    </xf>
    <xf numFmtId="14" fontId="12" fillId="3" borderId="0" xfId="0" applyNumberFormat="1" applyFont="1" applyFill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right"/>
      <protection locked="0"/>
    </xf>
    <xf numFmtId="0" fontId="7" fillId="5" borderId="3" xfId="0" applyFont="1" applyFill="1" applyBorder="1" applyAlignment="1" applyProtection="1">
      <alignment horizontal="right"/>
      <protection locked="0"/>
    </xf>
    <xf numFmtId="0" fontId="5" fillId="8" borderId="0" xfId="0" applyFont="1" applyFill="1" applyAlignment="1" applyProtection="1">
      <protection locked="0"/>
    </xf>
  </cellXfs>
  <cellStyles count="3">
    <cellStyle name="Comma" xfId="1" builtinId="3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grisolve-my.sharepoint.com/C:/Users/AgrisolveGH%20Finance/Documents/DEPARTMENTAL%20FILES/ACCOUNTS-DOCS/2024%20docs/GCC%20DOCS/GCC%20WORKING%20PAPERS-2024/GCC%20SUPPLIES-2024/GCC%20INPUT%20SALES%20FILES/GCC%20TEMPLATES/test%20run-GCC%20YENDI%20DAILY%20SALES%20AND%20SUMMARY%20REPORT%20.xlsx" TargetMode="External"/><Relationship Id="rId2" Type="http://schemas.microsoft.com/office/2019/04/relationships/externalLinkLongPath" Target="file:///C:/Users/AgrisolveGH%20Finance/Documents/DEPARTMENTAL%20FILES/ACCOUNTS-DOCS/2024%20docs/GCC%20DOCS/GCC%20WORKING%20PAPERS-2024/GCC%20SUPPLIES-2024/GCC%20INPUT%20SALES%20FILES/GCC%20TEMPLATES/test%20run-GCC%20YENDI%20DAILY%20SALES%20AND%20SUMMARY%20REPORT%20.xlsx?DC7A547C" TargetMode="External"/><Relationship Id="rId1" Type="http://schemas.openxmlformats.org/officeDocument/2006/relationships/externalLinkPath" Target="file:///DC7A547C/test%20run-GCC%20YENDI%20DAILY%20SALES%20AND%20SUMMARY%20REPOR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ETAILED SALES REPORT"/>
      <sheetName val="DAILY SALES SUMMARY REPORT"/>
    </sheetNames>
    <sheetDataSet>
      <sheetData sheetId="0" refreshError="1"/>
      <sheetData sheetId="1">
        <row r="6">
          <cell r="B6" t="str">
            <v>Knapsack 2 in 1</v>
          </cell>
        </row>
        <row r="7">
          <cell r="B7" t="str">
            <v>Knapsack Manual</v>
          </cell>
        </row>
        <row r="8">
          <cell r="B8" t="str">
            <v>Calliherb</v>
          </cell>
        </row>
        <row r="9">
          <cell r="B9" t="str">
            <v>Bonico</v>
          </cell>
        </row>
        <row r="10">
          <cell r="B10" t="str">
            <v>Supremo</v>
          </cell>
        </row>
        <row r="11">
          <cell r="B11" t="str">
            <v>Vezir</v>
          </cell>
        </row>
        <row r="12">
          <cell r="B12" t="str">
            <v>Flitzer</v>
          </cell>
        </row>
        <row r="13">
          <cell r="B13" t="str">
            <v>Kingkong Green</v>
          </cell>
        </row>
        <row r="14">
          <cell r="B14" t="str">
            <v>Kingkong Red</v>
          </cell>
        </row>
        <row r="15">
          <cell r="B15" t="str">
            <v>Topman</v>
          </cell>
        </row>
        <row r="16">
          <cell r="B16" t="str">
            <v>Battery</v>
          </cell>
        </row>
        <row r="17">
          <cell r="B17" t="str">
            <v>Charger</v>
          </cell>
        </row>
        <row r="18">
          <cell r="B18" t="str">
            <v>Trigger</v>
          </cell>
        </row>
        <row r="19">
          <cell r="B19" t="str">
            <v>Lance Metal/Plastic</v>
          </cell>
        </row>
        <row r="20">
          <cell r="B20" t="str">
            <v>Strap</v>
          </cell>
        </row>
        <row r="27">
          <cell r="B27" t="str">
            <v>REPORT PREPARED BY:</v>
          </cell>
        </row>
        <row r="29">
          <cell r="B29" t="str">
            <v>DESIGNATION: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D0FE-1A14-48FA-8703-8C6B4D58A3E8}">
  <dimension ref="A1:G205"/>
  <sheetViews>
    <sheetView tabSelected="1" zoomScaleNormal="100" workbookViewId="0">
      <pane ySplit="5" topLeftCell="A6" activePane="bottomLeft" state="frozen"/>
      <selection pane="bottomLeft" activeCell="B8" sqref="B8"/>
    </sheetView>
  </sheetViews>
  <sheetFormatPr baseColWidth="10" defaultColWidth="9.1640625" defaultRowHeight="16" x14ac:dyDescent="0.2"/>
  <cols>
    <col min="1" max="1" width="10.33203125" style="15" customWidth="1"/>
    <col min="2" max="2" width="36.83203125" style="99" customWidth="1"/>
    <col min="3" max="3" width="31" style="15" bestFit="1" customWidth="1"/>
    <col min="4" max="4" width="17.5" style="23" customWidth="1"/>
    <col min="5" max="5" width="11" style="15" customWidth="1"/>
    <col min="6" max="6" width="10.5" style="23" customWidth="1"/>
    <col min="7" max="7" width="16.33203125" style="23" customWidth="1"/>
    <col min="8" max="16384" width="9.1640625" style="15"/>
  </cols>
  <sheetData>
    <row r="1" spans="1:7" s="10" customFormat="1" ht="27" x14ac:dyDescent="0.35">
      <c r="A1" s="102" t="s">
        <v>26</v>
      </c>
      <c r="B1" s="102"/>
      <c r="C1" s="102"/>
      <c r="D1" s="102"/>
      <c r="E1" s="102"/>
      <c r="F1" s="102"/>
      <c r="G1" s="102"/>
    </row>
    <row r="2" spans="1:7" s="11" customFormat="1" ht="4.5" customHeight="1" x14ac:dyDescent="0.3">
      <c r="B2" s="91"/>
      <c r="D2" s="19"/>
      <c r="F2" s="19"/>
      <c r="G2" s="19"/>
    </row>
    <row r="3" spans="1:7" s="11" customFormat="1" ht="23" thickBot="1" x14ac:dyDescent="0.35">
      <c r="A3" s="12" t="s">
        <v>50</v>
      </c>
      <c r="B3" s="92"/>
      <c r="C3" s="12"/>
      <c r="D3" s="20"/>
      <c r="E3" s="12"/>
      <c r="F3" s="20"/>
      <c r="G3" s="20"/>
    </row>
    <row r="4" spans="1:7" s="11" customFormat="1" ht="20.25" customHeight="1" thickBot="1" x14ac:dyDescent="0.35">
      <c r="A4" s="100"/>
      <c r="B4" s="101"/>
      <c r="C4" s="101"/>
      <c r="D4" s="21"/>
      <c r="E4" s="80"/>
      <c r="F4" s="24"/>
      <c r="G4" s="25"/>
    </row>
    <row r="5" spans="1:7" s="14" customFormat="1" ht="48" x14ac:dyDescent="0.2">
      <c r="A5" s="13" t="s">
        <v>0</v>
      </c>
      <c r="B5" s="93" t="s">
        <v>7</v>
      </c>
      <c r="C5" s="13" t="s">
        <v>1</v>
      </c>
      <c r="D5" s="1" t="s">
        <v>2</v>
      </c>
      <c r="E5" s="13" t="s">
        <v>3</v>
      </c>
      <c r="F5" s="1" t="s">
        <v>4</v>
      </c>
      <c r="G5" s="1" t="s">
        <v>5</v>
      </c>
    </row>
    <row r="6" spans="1:7" x14ac:dyDescent="0.2">
      <c r="A6" s="4">
        <v>1</v>
      </c>
      <c r="B6" s="94"/>
      <c r="C6" s="3"/>
      <c r="D6" s="81" t="str">
        <f>IFERROR(VLOOKUP(C6, 'Daily Sales Summary Report'!$B$6:$C$47, 2, FALSE),"")</f>
        <v/>
      </c>
      <c r="E6" s="2"/>
      <c r="F6" s="6"/>
      <c r="G6" s="7">
        <f>IFERROR(E6*D6-F6,0)</f>
        <v>0</v>
      </c>
    </row>
    <row r="7" spans="1:7" x14ac:dyDescent="0.2">
      <c r="A7" s="4">
        <v>2</v>
      </c>
      <c r="B7" s="95"/>
      <c r="C7" s="3"/>
      <c r="D7" s="81" t="str">
        <f>IFERROR(VLOOKUP(C7, 'Daily Sales Summary Report'!$B$6:$C$47, 2, FALSE),"")</f>
        <v/>
      </c>
      <c r="E7" s="2"/>
      <c r="F7" s="6"/>
      <c r="G7" s="7">
        <f t="shared" ref="G7:G70" si="0">IFERROR(E7*D7-F7,0)</f>
        <v>0</v>
      </c>
    </row>
    <row r="8" spans="1:7" x14ac:dyDescent="0.2">
      <c r="A8" s="4">
        <v>3</v>
      </c>
      <c r="B8" s="95"/>
      <c r="C8" s="3"/>
      <c r="D8" s="81" t="str">
        <f>IFERROR(VLOOKUP(C8, 'Daily Sales Summary Report'!$B$6:$C$47, 2, FALSE),"")</f>
        <v/>
      </c>
      <c r="E8" s="2"/>
      <c r="F8" s="6"/>
      <c r="G8" s="7">
        <f t="shared" si="0"/>
        <v>0</v>
      </c>
    </row>
    <row r="9" spans="1:7" x14ac:dyDescent="0.2">
      <c r="A9" s="4">
        <v>4</v>
      </c>
      <c r="B9" s="96"/>
      <c r="C9" s="3" t="s">
        <v>51</v>
      </c>
      <c r="D9" s="81" t="str">
        <f>IFERROR(VLOOKUP(C9, 'Daily Sales Summary Report'!$B$6:$C$47, 2, FALSE),"")</f>
        <v/>
      </c>
      <c r="E9" s="2"/>
      <c r="F9" s="6"/>
      <c r="G9" s="7">
        <f t="shared" si="0"/>
        <v>0</v>
      </c>
    </row>
    <row r="10" spans="1:7" x14ac:dyDescent="0.2">
      <c r="A10" s="4">
        <v>5</v>
      </c>
      <c r="B10" s="95"/>
      <c r="C10" s="3"/>
      <c r="D10" s="81" t="str">
        <f>IFERROR(VLOOKUP(C10, 'Daily Sales Summary Report'!$B$6:$C$47, 2, FALSE),"")</f>
        <v/>
      </c>
      <c r="E10" s="2"/>
      <c r="F10" s="6"/>
      <c r="G10" s="7">
        <f t="shared" si="0"/>
        <v>0</v>
      </c>
    </row>
    <row r="11" spans="1:7" x14ac:dyDescent="0.2">
      <c r="A11" s="4">
        <v>6</v>
      </c>
      <c r="B11" s="94"/>
      <c r="C11" s="3"/>
      <c r="D11" s="81" t="str">
        <f>IFERROR(VLOOKUP(C11, 'Daily Sales Summary Report'!$B$6:$C$47, 2, FALSE),"")</f>
        <v/>
      </c>
      <c r="E11" s="2"/>
      <c r="F11" s="6"/>
      <c r="G11" s="7">
        <f t="shared" si="0"/>
        <v>0</v>
      </c>
    </row>
    <row r="12" spans="1:7" x14ac:dyDescent="0.2">
      <c r="A12" s="4">
        <v>7</v>
      </c>
      <c r="B12" s="94"/>
      <c r="C12" s="3"/>
      <c r="D12" s="81" t="str">
        <f>IFERROR(VLOOKUP(C12, 'Daily Sales Summary Report'!$B$6:$C$47, 2, FALSE),"")</f>
        <v/>
      </c>
      <c r="E12" s="2"/>
      <c r="F12" s="6"/>
      <c r="G12" s="7">
        <f t="shared" si="0"/>
        <v>0</v>
      </c>
    </row>
    <row r="13" spans="1:7" x14ac:dyDescent="0.2">
      <c r="A13" s="4">
        <v>8</v>
      </c>
      <c r="B13" s="94"/>
      <c r="C13" s="3"/>
      <c r="D13" s="81" t="str">
        <f>IFERROR(VLOOKUP(C13, 'Daily Sales Summary Report'!$B$6:$C$47, 2, FALSE),"")</f>
        <v/>
      </c>
      <c r="E13" s="2"/>
      <c r="F13" s="6"/>
      <c r="G13" s="7">
        <f t="shared" si="0"/>
        <v>0</v>
      </c>
    </row>
    <row r="14" spans="1:7" x14ac:dyDescent="0.2">
      <c r="A14" s="4">
        <v>9</v>
      </c>
      <c r="B14" s="94"/>
      <c r="C14" s="3"/>
      <c r="D14" s="81" t="str">
        <f>IFERROR(VLOOKUP(C14, 'Daily Sales Summary Report'!$B$6:$C$47, 2, FALSE),"")</f>
        <v/>
      </c>
      <c r="E14" s="2"/>
      <c r="F14" s="8"/>
      <c r="G14" s="7">
        <f t="shared" si="0"/>
        <v>0</v>
      </c>
    </row>
    <row r="15" spans="1:7" x14ac:dyDescent="0.2">
      <c r="A15" s="4">
        <v>10</v>
      </c>
      <c r="B15" s="94"/>
      <c r="C15" s="3"/>
      <c r="D15" s="81" t="str">
        <f>IFERROR(VLOOKUP(C15, 'Daily Sales Summary Report'!$B$6:$C$47, 2, FALSE),"")</f>
        <v/>
      </c>
      <c r="E15" s="2"/>
      <c r="F15" s="8"/>
      <c r="G15" s="7">
        <f t="shared" si="0"/>
        <v>0</v>
      </c>
    </row>
    <row r="16" spans="1:7" x14ac:dyDescent="0.2">
      <c r="A16" s="4">
        <v>11</v>
      </c>
      <c r="B16" s="94"/>
      <c r="C16" s="3"/>
      <c r="D16" s="81" t="str">
        <f>IFERROR(VLOOKUP(C16, 'Daily Sales Summary Report'!$B$6:$C$47, 2, FALSE),"")</f>
        <v/>
      </c>
      <c r="E16" s="2"/>
      <c r="F16" s="8"/>
      <c r="G16" s="7">
        <f t="shared" si="0"/>
        <v>0</v>
      </c>
    </row>
    <row r="17" spans="1:7" x14ac:dyDescent="0.2">
      <c r="A17" s="4">
        <v>12</v>
      </c>
      <c r="B17" s="94"/>
      <c r="C17" s="3"/>
      <c r="D17" s="81" t="str">
        <f>IFERROR(VLOOKUP(C17, 'Daily Sales Summary Report'!$B$6:$C$47, 2, FALSE),"")</f>
        <v/>
      </c>
      <c r="E17" s="2"/>
      <c r="F17" s="8"/>
      <c r="G17" s="7">
        <f t="shared" si="0"/>
        <v>0</v>
      </c>
    </row>
    <row r="18" spans="1:7" x14ac:dyDescent="0.2">
      <c r="A18" s="4">
        <v>13</v>
      </c>
      <c r="B18" s="94"/>
      <c r="C18" s="74"/>
      <c r="D18" s="81" t="str">
        <f>IFERROR(VLOOKUP(C18, 'Daily Sales Summary Report'!$B$6:$C$47, 2, FALSE),"")</f>
        <v/>
      </c>
      <c r="E18" s="2"/>
      <c r="F18" s="8"/>
      <c r="G18" s="7">
        <f t="shared" si="0"/>
        <v>0</v>
      </c>
    </row>
    <row r="19" spans="1:7" x14ac:dyDescent="0.2">
      <c r="A19" s="4">
        <v>14</v>
      </c>
      <c r="B19" s="94"/>
      <c r="C19" s="74"/>
      <c r="D19" s="81" t="str">
        <f>IFERROR(VLOOKUP(C19, 'Daily Sales Summary Report'!$B$6:$C$47, 2, FALSE),"")</f>
        <v/>
      </c>
      <c r="E19" s="2"/>
      <c r="F19" s="8"/>
      <c r="G19" s="7">
        <f t="shared" si="0"/>
        <v>0</v>
      </c>
    </row>
    <row r="20" spans="1:7" x14ac:dyDescent="0.2">
      <c r="A20" s="4">
        <v>15</v>
      </c>
      <c r="B20" s="97"/>
      <c r="C20" s="74"/>
      <c r="D20" s="81" t="str">
        <f>IFERROR(VLOOKUP(C20, 'Daily Sales Summary Report'!$B$6:$C$47, 2, FALSE),"")</f>
        <v/>
      </c>
      <c r="E20" s="2"/>
      <c r="F20" s="8"/>
      <c r="G20" s="7">
        <f t="shared" si="0"/>
        <v>0</v>
      </c>
    </row>
    <row r="21" spans="1:7" x14ac:dyDescent="0.2">
      <c r="A21" s="4">
        <v>16</v>
      </c>
      <c r="B21" s="97"/>
      <c r="C21" s="74"/>
      <c r="D21" s="81" t="str">
        <f>IFERROR(VLOOKUP(C21, 'Daily Sales Summary Report'!$B$6:$C$47, 2, FALSE),"")</f>
        <v/>
      </c>
      <c r="E21" s="2"/>
      <c r="F21" s="8"/>
      <c r="G21" s="7">
        <f t="shared" si="0"/>
        <v>0</v>
      </c>
    </row>
    <row r="22" spans="1:7" x14ac:dyDescent="0.2">
      <c r="A22" s="4">
        <v>17</v>
      </c>
      <c r="B22" s="97"/>
      <c r="C22" s="74"/>
      <c r="D22" s="81" t="str">
        <f>IFERROR(VLOOKUP(C22, 'Daily Sales Summary Report'!$B$6:$C$47, 2, FALSE),"")</f>
        <v/>
      </c>
      <c r="E22" s="2"/>
      <c r="F22" s="8"/>
      <c r="G22" s="7">
        <f t="shared" si="0"/>
        <v>0</v>
      </c>
    </row>
    <row r="23" spans="1:7" x14ac:dyDescent="0.2">
      <c r="A23" s="4">
        <v>18</v>
      </c>
      <c r="B23" s="97"/>
      <c r="C23" s="74"/>
      <c r="D23" s="81" t="str">
        <f>IFERROR(VLOOKUP(C23, 'Daily Sales Summary Report'!$B$6:$C$47, 2, FALSE),"")</f>
        <v/>
      </c>
      <c r="E23" s="2"/>
      <c r="F23" s="8"/>
      <c r="G23" s="7">
        <f t="shared" si="0"/>
        <v>0</v>
      </c>
    </row>
    <row r="24" spans="1:7" x14ac:dyDescent="0.2">
      <c r="A24" s="4">
        <v>19</v>
      </c>
      <c r="B24" s="97"/>
      <c r="C24" s="74"/>
      <c r="D24" s="81" t="str">
        <f>IFERROR(VLOOKUP(C24, 'Daily Sales Summary Report'!$B$6:$C$47, 2, FALSE),"")</f>
        <v/>
      </c>
      <c r="E24" s="2"/>
      <c r="F24" s="8"/>
      <c r="G24" s="7">
        <f t="shared" si="0"/>
        <v>0</v>
      </c>
    </row>
    <row r="25" spans="1:7" x14ac:dyDescent="0.2">
      <c r="A25" s="4">
        <v>20</v>
      </c>
      <c r="B25" s="97"/>
      <c r="C25" s="74"/>
      <c r="D25" s="81" t="str">
        <f>IFERROR(VLOOKUP(C25, 'Daily Sales Summary Report'!$B$6:$C$47, 2, FALSE),"")</f>
        <v/>
      </c>
      <c r="E25" s="2"/>
      <c r="F25" s="8"/>
      <c r="G25" s="7">
        <f t="shared" si="0"/>
        <v>0</v>
      </c>
    </row>
    <row r="26" spans="1:7" x14ac:dyDescent="0.2">
      <c r="A26" s="4">
        <v>21</v>
      </c>
      <c r="B26" s="97"/>
      <c r="C26" s="74"/>
      <c r="D26" s="81" t="str">
        <f>IFERROR(VLOOKUP(C26, 'Daily Sales Summary Report'!$B$6:$C$47, 2, FALSE),"")</f>
        <v/>
      </c>
      <c r="E26" s="2"/>
      <c r="F26" s="8"/>
      <c r="G26" s="7">
        <f t="shared" si="0"/>
        <v>0</v>
      </c>
    </row>
    <row r="27" spans="1:7" x14ac:dyDescent="0.2">
      <c r="A27" s="4">
        <v>22</v>
      </c>
      <c r="B27" s="97"/>
      <c r="C27" s="74"/>
      <c r="D27" s="81" t="str">
        <f>IFERROR(VLOOKUP(C27, 'Daily Sales Summary Report'!$B$6:$C$47, 2, FALSE),"")</f>
        <v/>
      </c>
      <c r="E27" s="2"/>
      <c r="F27" s="8"/>
      <c r="G27" s="7">
        <f t="shared" si="0"/>
        <v>0</v>
      </c>
    </row>
    <row r="28" spans="1:7" x14ac:dyDescent="0.2">
      <c r="A28" s="4">
        <v>23</v>
      </c>
      <c r="B28" s="97"/>
      <c r="C28" s="74"/>
      <c r="D28" s="81" t="str">
        <f>IFERROR(VLOOKUP(C28, 'Daily Sales Summary Report'!$B$6:$C$47, 2, FALSE),"")</f>
        <v/>
      </c>
      <c r="E28" s="2"/>
      <c r="F28" s="8"/>
      <c r="G28" s="7">
        <f t="shared" si="0"/>
        <v>0</v>
      </c>
    </row>
    <row r="29" spans="1:7" x14ac:dyDescent="0.2">
      <c r="A29" s="4">
        <v>24</v>
      </c>
      <c r="B29" s="97"/>
      <c r="C29" s="74"/>
      <c r="D29" s="81" t="str">
        <f>IFERROR(VLOOKUP(C29, 'Daily Sales Summary Report'!$B$6:$C$47, 2, FALSE),"")</f>
        <v/>
      </c>
      <c r="E29" s="2"/>
      <c r="F29" s="8"/>
      <c r="G29" s="7">
        <f t="shared" si="0"/>
        <v>0</v>
      </c>
    </row>
    <row r="30" spans="1:7" x14ac:dyDescent="0.2">
      <c r="A30" s="4">
        <v>25</v>
      </c>
      <c r="B30" s="97"/>
      <c r="C30" s="74"/>
      <c r="D30" s="81" t="str">
        <f>IFERROR(VLOOKUP(C30, 'Daily Sales Summary Report'!$B$6:$C$47, 2, FALSE),"")</f>
        <v/>
      </c>
      <c r="E30" s="2"/>
      <c r="F30" s="8"/>
      <c r="G30" s="7">
        <f t="shared" si="0"/>
        <v>0</v>
      </c>
    </row>
    <row r="31" spans="1:7" x14ac:dyDescent="0.2">
      <c r="A31" s="4">
        <v>26</v>
      </c>
      <c r="B31" s="97"/>
      <c r="C31" s="74"/>
      <c r="D31" s="81" t="str">
        <f>IFERROR(VLOOKUP(C31, 'Daily Sales Summary Report'!$B$6:$C$47, 2, FALSE),"")</f>
        <v/>
      </c>
      <c r="E31" s="2"/>
      <c r="F31" s="8"/>
      <c r="G31" s="7">
        <f t="shared" si="0"/>
        <v>0</v>
      </c>
    </row>
    <row r="32" spans="1:7" x14ac:dyDescent="0.2">
      <c r="A32" s="4">
        <v>27</v>
      </c>
      <c r="B32" s="97"/>
      <c r="C32" s="74"/>
      <c r="D32" s="81" t="str">
        <f>IFERROR(VLOOKUP(C32, 'Daily Sales Summary Report'!$B$6:$C$47, 2, FALSE),"")</f>
        <v/>
      </c>
      <c r="E32" s="2"/>
      <c r="F32" s="8"/>
      <c r="G32" s="7">
        <f t="shared" si="0"/>
        <v>0</v>
      </c>
    </row>
    <row r="33" spans="1:7" x14ac:dyDescent="0.2">
      <c r="A33" s="4">
        <v>28</v>
      </c>
      <c r="B33" s="97"/>
      <c r="C33" s="74"/>
      <c r="D33" s="81" t="str">
        <f>IFERROR(VLOOKUP(C33, 'Daily Sales Summary Report'!$B$6:$C$47, 2, FALSE),"")</f>
        <v/>
      </c>
      <c r="E33" s="2"/>
      <c r="F33" s="8"/>
      <c r="G33" s="7">
        <f t="shared" si="0"/>
        <v>0</v>
      </c>
    </row>
    <row r="34" spans="1:7" x14ac:dyDescent="0.2">
      <c r="A34" s="4">
        <v>29</v>
      </c>
      <c r="B34" s="97"/>
      <c r="C34" s="74"/>
      <c r="D34" s="81" t="str">
        <f>IFERROR(VLOOKUP(C34, 'Daily Sales Summary Report'!$B$6:$C$47, 2, FALSE),"")</f>
        <v/>
      </c>
      <c r="E34" s="2"/>
      <c r="F34" s="8"/>
      <c r="G34" s="7">
        <f t="shared" si="0"/>
        <v>0</v>
      </c>
    </row>
    <row r="35" spans="1:7" x14ac:dyDescent="0.2">
      <c r="A35" s="4">
        <v>30</v>
      </c>
      <c r="B35" s="97"/>
      <c r="C35" s="74"/>
      <c r="D35" s="81" t="str">
        <f>IFERROR(VLOOKUP(C35, 'Daily Sales Summary Report'!$B$6:$C$47, 2, FALSE),"")</f>
        <v/>
      </c>
      <c r="E35" s="2"/>
      <c r="F35" s="8"/>
      <c r="G35" s="7">
        <f t="shared" si="0"/>
        <v>0</v>
      </c>
    </row>
    <row r="36" spans="1:7" x14ac:dyDescent="0.2">
      <c r="A36" s="4">
        <v>31</v>
      </c>
      <c r="B36" s="97"/>
      <c r="C36" s="74"/>
      <c r="D36" s="81" t="str">
        <f>IFERROR(VLOOKUP(C36, 'Daily Sales Summary Report'!$B$6:$C$47, 2, FALSE),"")</f>
        <v/>
      </c>
      <c r="E36" s="2"/>
      <c r="F36" s="8"/>
      <c r="G36" s="7">
        <f t="shared" si="0"/>
        <v>0</v>
      </c>
    </row>
    <row r="37" spans="1:7" x14ac:dyDescent="0.2">
      <c r="A37" s="4">
        <v>32</v>
      </c>
      <c r="B37" s="97"/>
      <c r="C37" s="74"/>
      <c r="D37" s="81" t="str">
        <f>IFERROR(VLOOKUP(C37, 'Daily Sales Summary Report'!$B$6:$C$47, 2, FALSE),"")</f>
        <v/>
      </c>
      <c r="E37" s="2"/>
      <c r="F37" s="8"/>
      <c r="G37" s="7">
        <f t="shared" si="0"/>
        <v>0</v>
      </c>
    </row>
    <row r="38" spans="1:7" x14ac:dyDescent="0.2">
      <c r="A38" s="4">
        <v>33</v>
      </c>
      <c r="B38" s="97"/>
      <c r="C38" s="74"/>
      <c r="D38" s="81" t="str">
        <f>IFERROR(VLOOKUP(C38, 'Daily Sales Summary Report'!$B$6:$C$47, 2, FALSE),"")</f>
        <v/>
      </c>
      <c r="E38" s="2"/>
      <c r="F38" s="8"/>
      <c r="G38" s="7">
        <f t="shared" si="0"/>
        <v>0</v>
      </c>
    </row>
    <row r="39" spans="1:7" x14ac:dyDescent="0.2">
      <c r="A39" s="4">
        <v>34</v>
      </c>
      <c r="B39" s="97"/>
      <c r="C39" s="3"/>
      <c r="D39" s="81" t="str">
        <f>IFERROR(VLOOKUP(C39, 'Daily Sales Summary Report'!$B$6:$C$47, 2, FALSE),"")</f>
        <v/>
      </c>
      <c r="E39" s="2"/>
      <c r="F39" s="8"/>
      <c r="G39" s="7">
        <f t="shared" si="0"/>
        <v>0</v>
      </c>
    </row>
    <row r="40" spans="1:7" x14ac:dyDescent="0.2">
      <c r="A40" s="4">
        <v>35</v>
      </c>
      <c r="B40" s="97"/>
      <c r="C40" s="3"/>
      <c r="D40" s="81" t="str">
        <f>IFERROR(VLOOKUP(C40, 'Daily Sales Summary Report'!$B$6:$C$47, 2, FALSE),"")</f>
        <v/>
      </c>
      <c r="E40" s="2"/>
      <c r="F40" s="8"/>
      <c r="G40" s="7">
        <f t="shared" si="0"/>
        <v>0</v>
      </c>
    </row>
    <row r="41" spans="1:7" x14ac:dyDescent="0.2">
      <c r="A41" s="4">
        <v>36</v>
      </c>
      <c r="B41" s="97"/>
      <c r="C41" s="3"/>
      <c r="D41" s="81" t="str">
        <f>IFERROR(VLOOKUP(C41, 'Daily Sales Summary Report'!$B$6:$C$47, 2, FALSE),"")</f>
        <v/>
      </c>
      <c r="E41" s="2"/>
      <c r="F41" s="8"/>
      <c r="G41" s="7">
        <f t="shared" si="0"/>
        <v>0</v>
      </c>
    </row>
    <row r="42" spans="1:7" x14ac:dyDescent="0.2">
      <c r="A42" s="4">
        <v>37</v>
      </c>
      <c r="B42" s="97"/>
      <c r="C42" s="74"/>
      <c r="D42" s="81" t="str">
        <f>IFERROR(VLOOKUP(C42, 'Daily Sales Summary Report'!$B$6:$C$47, 2, FALSE),"")</f>
        <v/>
      </c>
      <c r="E42" s="2"/>
      <c r="F42" s="8"/>
      <c r="G42" s="7">
        <f t="shared" si="0"/>
        <v>0</v>
      </c>
    </row>
    <row r="43" spans="1:7" x14ac:dyDescent="0.2">
      <c r="A43" s="4">
        <v>38</v>
      </c>
      <c r="B43" s="97"/>
      <c r="C43" s="77"/>
      <c r="D43" s="81" t="str">
        <f>IFERROR(VLOOKUP(C43, 'Daily Sales Summary Report'!$B$6:$C$47, 2, FALSE),"")</f>
        <v/>
      </c>
      <c r="E43" s="2"/>
      <c r="F43" s="8"/>
      <c r="G43" s="7">
        <f t="shared" si="0"/>
        <v>0</v>
      </c>
    </row>
    <row r="44" spans="1:7" x14ac:dyDescent="0.2">
      <c r="A44" s="4">
        <v>39</v>
      </c>
      <c r="B44" s="97"/>
      <c r="C44" s="77"/>
      <c r="D44" s="81" t="str">
        <f>IFERROR(VLOOKUP(C44, 'Daily Sales Summary Report'!$B$6:$C$47, 2, FALSE),"")</f>
        <v/>
      </c>
      <c r="E44" s="2"/>
      <c r="F44" s="8"/>
      <c r="G44" s="7">
        <f t="shared" si="0"/>
        <v>0</v>
      </c>
    </row>
    <row r="45" spans="1:7" x14ac:dyDescent="0.2">
      <c r="A45" s="4">
        <v>40</v>
      </c>
      <c r="B45" s="97"/>
      <c r="C45" s="74"/>
      <c r="D45" s="81" t="str">
        <f>IFERROR(VLOOKUP(C45, 'Daily Sales Summary Report'!$B$6:$C$47, 2, FALSE),"")</f>
        <v/>
      </c>
      <c r="E45" s="2"/>
      <c r="F45" s="8"/>
      <c r="G45" s="7">
        <f t="shared" si="0"/>
        <v>0</v>
      </c>
    </row>
    <row r="46" spans="1:7" x14ac:dyDescent="0.2">
      <c r="A46" s="4">
        <v>41</v>
      </c>
      <c r="B46" s="97"/>
      <c r="C46" s="74"/>
      <c r="D46" s="81" t="str">
        <f>IFERROR(VLOOKUP(C46, 'Daily Sales Summary Report'!$B$6:$C$47, 2, FALSE),"")</f>
        <v/>
      </c>
      <c r="E46" s="2"/>
      <c r="F46" s="8"/>
      <c r="G46" s="7">
        <f t="shared" si="0"/>
        <v>0</v>
      </c>
    </row>
    <row r="47" spans="1:7" x14ac:dyDescent="0.2">
      <c r="A47" s="4">
        <v>42</v>
      </c>
      <c r="B47" s="97"/>
      <c r="C47" s="74"/>
      <c r="D47" s="81" t="str">
        <f>IFERROR(VLOOKUP(C47, 'Daily Sales Summary Report'!$B$6:$C$47, 2, FALSE),"")</f>
        <v/>
      </c>
      <c r="E47" s="2"/>
      <c r="F47" s="8"/>
      <c r="G47" s="7">
        <f t="shared" si="0"/>
        <v>0</v>
      </c>
    </row>
    <row r="48" spans="1:7" x14ac:dyDescent="0.2">
      <c r="A48" s="4">
        <v>43</v>
      </c>
      <c r="B48" s="97"/>
      <c r="C48" s="74"/>
      <c r="D48" s="81" t="str">
        <f>IFERROR(VLOOKUP(C48, 'Daily Sales Summary Report'!$B$6:$C$47, 2, FALSE),"")</f>
        <v/>
      </c>
      <c r="E48" s="2"/>
      <c r="F48" s="8"/>
      <c r="G48" s="7">
        <f t="shared" si="0"/>
        <v>0</v>
      </c>
    </row>
    <row r="49" spans="1:7" x14ac:dyDescent="0.2">
      <c r="A49" s="4">
        <v>44</v>
      </c>
      <c r="B49" s="97"/>
      <c r="C49" s="77"/>
      <c r="D49" s="81" t="str">
        <f>IFERROR(VLOOKUP(C49, 'Daily Sales Summary Report'!$B$6:$C$47, 2, FALSE),"")</f>
        <v/>
      </c>
      <c r="E49" s="2"/>
      <c r="F49" s="8"/>
      <c r="G49" s="7">
        <f t="shared" si="0"/>
        <v>0</v>
      </c>
    </row>
    <row r="50" spans="1:7" x14ac:dyDescent="0.2">
      <c r="A50" s="4">
        <v>45</v>
      </c>
      <c r="B50" s="97"/>
      <c r="C50" s="78"/>
      <c r="D50" s="81" t="str">
        <f>IFERROR(VLOOKUP(C50, 'Daily Sales Summary Report'!$B$6:$C$47, 2, FALSE),"")</f>
        <v/>
      </c>
      <c r="E50" s="2"/>
      <c r="F50" s="8"/>
      <c r="G50" s="7">
        <f t="shared" si="0"/>
        <v>0</v>
      </c>
    </row>
    <row r="51" spans="1:7" x14ac:dyDescent="0.2">
      <c r="A51" s="4">
        <v>46</v>
      </c>
      <c r="B51" s="97"/>
      <c r="C51" s="74"/>
      <c r="D51" s="81" t="str">
        <f>IFERROR(VLOOKUP(C51, 'Daily Sales Summary Report'!$B$6:$C$47, 2, FALSE),"")</f>
        <v/>
      </c>
      <c r="E51" s="2"/>
      <c r="F51" s="8"/>
      <c r="G51" s="7">
        <f t="shared" si="0"/>
        <v>0</v>
      </c>
    </row>
    <row r="52" spans="1:7" x14ac:dyDescent="0.2">
      <c r="A52" s="4">
        <v>47</v>
      </c>
      <c r="B52" s="97"/>
      <c r="C52" s="77"/>
      <c r="D52" s="81" t="str">
        <f>IFERROR(VLOOKUP(C52, 'Daily Sales Summary Report'!$B$6:$C$47, 2, FALSE),"")</f>
        <v/>
      </c>
      <c r="E52" s="2"/>
      <c r="F52" s="8"/>
      <c r="G52" s="7">
        <f t="shared" si="0"/>
        <v>0</v>
      </c>
    </row>
    <row r="53" spans="1:7" x14ac:dyDescent="0.2">
      <c r="A53" s="4">
        <v>48</v>
      </c>
      <c r="B53" s="97"/>
      <c r="C53" s="74"/>
      <c r="D53" s="81" t="str">
        <f>IFERROR(VLOOKUP(C53, 'Daily Sales Summary Report'!$B$6:$C$47, 2, FALSE),"")</f>
        <v/>
      </c>
      <c r="E53" s="2"/>
      <c r="F53" s="8"/>
      <c r="G53" s="7">
        <f t="shared" si="0"/>
        <v>0</v>
      </c>
    </row>
    <row r="54" spans="1:7" x14ac:dyDescent="0.2">
      <c r="A54" s="4">
        <v>49</v>
      </c>
      <c r="B54" s="97"/>
      <c r="C54" s="78"/>
      <c r="D54" s="81" t="str">
        <f>IFERROR(VLOOKUP(C54, 'Daily Sales Summary Report'!$B$6:$C$47, 2, FALSE),"")</f>
        <v/>
      </c>
      <c r="E54" s="2"/>
      <c r="F54" s="8"/>
      <c r="G54" s="7">
        <f t="shared" si="0"/>
        <v>0</v>
      </c>
    </row>
    <row r="55" spans="1:7" x14ac:dyDescent="0.2">
      <c r="A55" s="4">
        <v>50</v>
      </c>
      <c r="B55" s="97"/>
      <c r="C55" s="78"/>
      <c r="D55" s="81" t="str">
        <f>IFERROR(VLOOKUP(C55, 'Daily Sales Summary Report'!$B$6:$C$47, 2, FALSE),"")</f>
        <v/>
      </c>
      <c r="E55" s="2"/>
      <c r="F55" s="8"/>
      <c r="G55" s="7">
        <f t="shared" si="0"/>
        <v>0</v>
      </c>
    </row>
    <row r="56" spans="1:7" x14ac:dyDescent="0.2">
      <c r="A56" s="4">
        <v>51</v>
      </c>
      <c r="B56" s="97"/>
      <c r="C56" s="74"/>
      <c r="D56" s="81" t="str">
        <f>IFERROR(VLOOKUP(C56, 'Daily Sales Summary Report'!$B$6:$C$47, 2, FALSE),"")</f>
        <v/>
      </c>
      <c r="E56" s="2"/>
      <c r="F56" s="8"/>
      <c r="G56" s="7">
        <f t="shared" si="0"/>
        <v>0</v>
      </c>
    </row>
    <row r="57" spans="1:7" x14ac:dyDescent="0.2">
      <c r="A57" s="4">
        <v>52</v>
      </c>
      <c r="B57" s="97"/>
      <c r="C57" s="74"/>
      <c r="D57" s="81" t="str">
        <f>IFERROR(VLOOKUP(C57, 'Daily Sales Summary Report'!$B$6:$C$47, 2, FALSE),"")</f>
        <v/>
      </c>
      <c r="E57" s="2"/>
      <c r="F57" s="8"/>
      <c r="G57" s="7">
        <f t="shared" si="0"/>
        <v>0</v>
      </c>
    </row>
    <row r="58" spans="1:7" x14ac:dyDescent="0.2">
      <c r="A58" s="4">
        <v>53</v>
      </c>
      <c r="B58" s="97"/>
      <c r="C58" s="74"/>
      <c r="D58" s="81" t="str">
        <f>IFERROR(VLOOKUP(C58, 'Daily Sales Summary Report'!$B$6:$C$47, 2, FALSE),"")</f>
        <v/>
      </c>
      <c r="E58" s="2"/>
      <c r="F58" s="8"/>
      <c r="G58" s="7">
        <f t="shared" si="0"/>
        <v>0</v>
      </c>
    </row>
    <row r="59" spans="1:7" x14ac:dyDescent="0.2">
      <c r="A59" s="4">
        <v>54</v>
      </c>
      <c r="B59" s="97"/>
      <c r="C59" s="79"/>
      <c r="D59" s="81" t="str">
        <f>IFERROR(VLOOKUP(C59, 'Daily Sales Summary Report'!$B$6:$C$47, 2, FALSE),"")</f>
        <v/>
      </c>
      <c r="E59" s="2"/>
      <c r="F59" s="8"/>
      <c r="G59" s="7">
        <f t="shared" si="0"/>
        <v>0</v>
      </c>
    </row>
    <row r="60" spans="1:7" x14ac:dyDescent="0.2">
      <c r="A60" s="4">
        <v>55</v>
      </c>
      <c r="B60" s="97"/>
      <c r="C60" s="79"/>
      <c r="D60" s="81" t="str">
        <f>IFERROR(VLOOKUP(C60, 'Daily Sales Summary Report'!$B$6:$C$47, 2, FALSE),"")</f>
        <v/>
      </c>
      <c r="E60" s="2"/>
      <c r="F60" s="8"/>
      <c r="G60" s="7">
        <f t="shared" si="0"/>
        <v>0</v>
      </c>
    </row>
    <row r="61" spans="1:7" x14ac:dyDescent="0.2">
      <c r="A61" s="4">
        <v>56</v>
      </c>
      <c r="B61" s="97"/>
      <c r="C61" s="74"/>
      <c r="D61" s="81" t="str">
        <f>IFERROR(VLOOKUP(C61, 'Daily Sales Summary Report'!$B$6:$C$47, 2, FALSE),"")</f>
        <v/>
      </c>
      <c r="E61" s="2"/>
      <c r="F61" s="8"/>
      <c r="G61" s="7">
        <f t="shared" si="0"/>
        <v>0</v>
      </c>
    </row>
    <row r="62" spans="1:7" x14ac:dyDescent="0.2">
      <c r="A62" s="4">
        <v>57</v>
      </c>
      <c r="B62" s="97"/>
      <c r="C62" s="74"/>
      <c r="D62" s="81" t="str">
        <f>IFERROR(VLOOKUP(C62, 'Daily Sales Summary Report'!$B$6:$C$47, 2, FALSE),"")</f>
        <v/>
      </c>
      <c r="E62" s="2"/>
      <c r="F62" s="8"/>
      <c r="G62" s="7">
        <f t="shared" si="0"/>
        <v>0</v>
      </c>
    </row>
    <row r="63" spans="1:7" x14ac:dyDescent="0.2">
      <c r="A63" s="4">
        <v>58</v>
      </c>
      <c r="B63" s="97"/>
      <c r="C63" s="3"/>
      <c r="D63" s="81" t="str">
        <f>IFERROR(VLOOKUP(C63, 'Daily Sales Summary Report'!$B$6:$C$47, 2, FALSE),"")</f>
        <v/>
      </c>
      <c r="E63" s="2"/>
      <c r="F63" s="8"/>
      <c r="G63" s="7">
        <f t="shared" si="0"/>
        <v>0</v>
      </c>
    </row>
    <row r="64" spans="1:7" x14ac:dyDescent="0.2">
      <c r="A64" s="4">
        <v>59</v>
      </c>
      <c r="B64" s="97"/>
      <c r="C64" s="3"/>
      <c r="D64" s="81" t="str">
        <f>IFERROR(VLOOKUP(C64, 'Daily Sales Summary Report'!$B$6:$C$47, 2, FALSE),"")</f>
        <v/>
      </c>
      <c r="E64" s="2"/>
      <c r="F64" s="8"/>
      <c r="G64" s="7">
        <f t="shared" si="0"/>
        <v>0</v>
      </c>
    </row>
    <row r="65" spans="1:7" x14ac:dyDescent="0.2">
      <c r="A65" s="4">
        <v>60</v>
      </c>
      <c r="B65" s="97"/>
      <c r="C65" s="3"/>
      <c r="D65" s="81" t="str">
        <f>IFERROR(VLOOKUP(C65, 'Daily Sales Summary Report'!$B$6:$C$47, 2, FALSE),"")</f>
        <v/>
      </c>
      <c r="E65" s="2"/>
      <c r="F65" s="8"/>
      <c r="G65" s="7">
        <f t="shared" si="0"/>
        <v>0</v>
      </c>
    </row>
    <row r="66" spans="1:7" x14ac:dyDescent="0.2">
      <c r="A66" s="4">
        <v>61</v>
      </c>
      <c r="B66" s="97"/>
      <c r="C66" s="3"/>
      <c r="D66" s="81" t="str">
        <f>IFERROR(VLOOKUP(C66, 'Daily Sales Summary Report'!$B$6:$C$47, 2, FALSE),"")</f>
        <v/>
      </c>
      <c r="E66" s="2"/>
      <c r="F66" s="8"/>
      <c r="G66" s="7">
        <f t="shared" si="0"/>
        <v>0</v>
      </c>
    </row>
    <row r="67" spans="1:7" x14ac:dyDescent="0.2">
      <c r="A67" s="4">
        <v>62</v>
      </c>
      <c r="B67" s="97"/>
      <c r="C67" s="3"/>
      <c r="D67" s="81" t="str">
        <f>IFERROR(VLOOKUP(C67, 'Daily Sales Summary Report'!$B$6:$C$47, 2, FALSE),"")</f>
        <v/>
      </c>
      <c r="E67" s="2"/>
      <c r="F67" s="8"/>
      <c r="G67" s="7">
        <f t="shared" si="0"/>
        <v>0</v>
      </c>
    </row>
    <row r="68" spans="1:7" x14ac:dyDescent="0.2">
      <c r="A68" s="4">
        <v>63</v>
      </c>
      <c r="B68" s="97"/>
      <c r="C68" s="3"/>
      <c r="D68" s="81" t="str">
        <f>IFERROR(VLOOKUP(C68, 'Daily Sales Summary Report'!$B$6:$C$47, 2, FALSE),"")</f>
        <v/>
      </c>
      <c r="E68" s="2"/>
      <c r="F68" s="8"/>
      <c r="G68" s="7">
        <f t="shared" si="0"/>
        <v>0</v>
      </c>
    </row>
    <row r="69" spans="1:7" x14ac:dyDescent="0.2">
      <c r="A69" s="4">
        <v>64</v>
      </c>
      <c r="B69" s="97"/>
      <c r="C69" s="3"/>
      <c r="D69" s="81" t="str">
        <f>IFERROR(VLOOKUP(C69, 'Daily Sales Summary Report'!$B$6:$C$47, 2, FALSE),"")</f>
        <v/>
      </c>
      <c r="E69" s="2"/>
      <c r="F69" s="8"/>
      <c r="G69" s="7">
        <f t="shared" si="0"/>
        <v>0</v>
      </c>
    </row>
    <row r="70" spans="1:7" x14ac:dyDescent="0.2">
      <c r="A70" s="4">
        <v>65</v>
      </c>
      <c r="B70" s="97"/>
      <c r="C70" s="3"/>
      <c r="D70" s="81" t="str">
        <f>IFERROR(VLOOKUP(C70, 'Daily Sales Summary Report'!$B$6:$C$47, 2, FALSE),"")</f>
        <v/>
      </c>
      <c r="E70" s="2"/>
      <c r="F70" s="8"/>
      <c r="G70" s="7">
        <f t="shared" si="0"/>
        <v>0</v>
      </c>
    </row>
    <row r="71" spans="1:7" x14ac:dyDescent="0.2">
      <c r="A71" s="4">
        <v>66</v>
      </c>
      <c r="B71" s="97"/>
      <c r="C71" s="3"/>
      <c r="D71" s="81" t="str">
        <f>IFERROR(VLOOKUP(C71, 'Daily Sales Summary Report'!$B$6:$C$47, 2, FALSE),"")</f>
        <v/>
      </c>
      <c r="E71" s="2"/>
      <c r="F71" s="8"/>
      <c r="G71" s="7">
        <f t="shared" ref="G71:G134" si="1">IFERROR(E71*D71-F71,0)</f>
        <v>0</v>
      </c>
    </row>
    <row r="72" spans="1:7" x14ac:dyDescent="0.2">
      <c r="A72" s="4">
        <v>67</v>
      </c>
      <c r="B72" s="97"/>
      <c r="C72" s="3"/>
      <c r="D72" s="81" t="str">
        <f>IFERROR(VLOOKUP(C72, 'Daily Sales Summary Report'!$B$6:$C$47, 2, FALSE),"")</f>
        <v/>
      </c>
      <c r="E72" s="2"/>
      <c r="F72" s="8"/>
      <c r="G72" s="7">
        <f t="shared" si="1"/>
        <v>0</v>
      </c>
    </row>
    <row r="73" spans="1:7" x14ac:dyDescent="0.2">
      <c r="A73" s="4">
        <v>68</v>
      </c>
      <c r="B73" s="97"/>
      <c r="C73" s="3"/>
      <c r="D73" s="81" t="str">
        <f>IFERROR(VLOOKUP(C73, 'Daily Sales Summary Report'!$B$6:$C$47, 2, FALSE),"")</f>
        <v/>
      </c>
      <c r="E73" s="2"/>
      <c r="F73" s="8"/>
      <c r="G73" s="7">
        <f t="shared" si="1"/>
        <v>0</v>
      </c>
    </row>
    <row r="74" spans="1:7" x14ac:dyDescent="0.2">
      <c r="A74" s="4">
        <v>69</v>
      </c>
      <c r="B74" s="97"/>
      <c r="C74" s="3"/>
      <c r="D74" s="81" t="str">
        <f>IFERROR(VLOOKUP(C74, 'Daily Sales Summary Report'!$B$6:$C$47, 2, FALSE),"")</f>
        <v/>
      </c>
      <c r="E74" s="2"/>
      <c r="F74" s="8"/>
      <c r="G74" s="7">
        <f t="shared" si="1"/>
        <v>0</v>
      </c>
    </row>
    <row r="75" spans="1:7" x14ac:dyDescent="0.2">
      <c r="A75" s="4">
        <v>70</v>
      </c>
      <c r="B75" s="97"/>
      <c r="C75" s="3"/>
      <c r="D75" s="81" t="str">
        <f>IFERROR(VLOOKUP(C75, 'Daily Sales Summary Report'!$B$6:$C$47, 2, FALSE),"")</f>
        <v/>
      </c>
      <c r="E75" s="2"/>
      <c r="F75" s="8"/>
      <c r="G75" s="7">
        <f t="shared" si="1"/>
        <v>0</v>
      </c>
    </row>
    <row r="76" spans="1:7" x14ac:dyDescent="0.2">
      <c r="A76" s="4">
        <v>71</v>
      </c>
      <c r="B76" s="97"/>
      <c r="C76" s="3"/>
      <c r="D76" s="81" t="str">
        <f>IFERROR(VLOOKUP(C76, 'Daily Sales Summary Report'!$B$6:$C$47, 2, FALSE),"")</f>
        <v/>
      </c>
      <c r="E76" s="2"/>
      <c r="F76" s="8"/>
      <c r="G76" s="7">
        <f t="shared" si="1"/>
        <v>0</v>
      </c>
    </row>
    <row r="77" spans="1:7" x14ac:dyDescent="0.2">
      <c r="A77" s="4">
        <v>72</v>
      </c>
      <c r="B77" s="97"/>
      <c r="C77" s="3"/>
      <c r="D77" s="81" t="str">
        <f>IFERROR(VLOOKUP(C77, 'Daily Sales Summary Report'!$B$6:$C$47, 2, FALSE),"")</f>
        <v/>
      </c>
      <c r="E77" s="2"/>
      <c r="F77" s="8"/>
      <c r="G77" s="7">
        <f t="shared" si="1"/>
        <v>0</v>
      </c>
    </row>
    <row r="78" spans="1:7" x14ac:dyDescent="0.2">
      <c r="A78" s="4">
        <v>73</v>
      </c>
      <c r="B78" s="97"/>
      <c r="C78" s="3"/>
      <c r="D78" s="81" t="str">
        <f>IFERROR(VLOOKUP(C78, 'Daily Sales Summary Report'!$B$6:$C$47, 2, FALSE),"")</f>
        <v/>
      </c>
      <c r="E78" s="2"/>
      <c r="F78" s="8"/>
      <c r="G78" s="7">
        <f t="shared" si="1"/>
        <v>0</v>
      </c>
    </row>
    <row r="79" spans="1:7" x14ac:dyDescent="0.2">
      <c r="A79" s="4">
        <v>74</v>
      </c>
      <c r="B79" s="97"/>
      <c r="C79" s="3"/>
      <c r="D79" s="81" t="str">
        <f>IFERROR(VLOOKUP(C79, 'Daily Sales Summary Report'!$B$6:$C$47, 2, FALSE),"")</f>
        <v/>
      </c>
      <c r="E79" s="2"/>
      <c r="F79" s="8"/>
      <c r="G79" s="7">
        <f t="shared" si="1"/>
        <v>0</v>
      </c>
    </row>
    <row r="80" spans="1:7" x14ac:dyDescent="0.2">
      <c r="A80" s="4">
        <v>75</v>
      </c>
      <c r="B80" s="97"/>
      <c r="C80" s="3"/>
      <c r="D80" s="81" t="str">
        <f>IFERROR(VLOOKUP(C80, 'Daily Sales Summary Report'!$B$6:$C$47, 2, FALSE),"")</f>
        <v/>
      </c>
      <c r="E80" s="2"/>
      <c r="F80" s="8"/>
      <c r="G80" s="7">
        <f t="shared" si="1"/>
        <v>0</v>
      </c>
    </row>
    <row r="81" spans="1:7" x14ac:dyDescent="0.2">
      <c r="A81" s="4">
        <v>76</v>
      </c>
      <c r="B81" s="97"/>
      <c r="C81" s="3"/>
      <c r="D81" s="81" t="str">
        <f>IFERROR(VLOOKUP(C81, 'Daily Sales Summary Report'!$B$6:$C$47, 2, FALSE),"")</f>
        <v/>
      </c>
      <c r="E81" s="2"/>
      <c r="F81" s="8"/>
      <c r="G81" s="7">
        <f t="shared" si="1"/>
        <v>0</v>
      </c>
    </row>
    <row r="82" spans="1:7" x14ac:dyDescent="0.2">
      <c r="A82" s="4">
        <v>77</v>
      </c>
      <c r="B82" s="97"/>
      <c r="C82" s="3"/>
      <c r="D82" s="81" t="str">
        <f>IFERROR(VLOOKUP(C82, 'Daily Sales Summary Report'!$B$6:$C$47, 2, FALSE),"")</f>
        <v/>
      </c>
      <c r="E82" s="2"/>
      <c r="F82" s="8"/>
      <c r="G82" s="7">
        <f t="shared" si="1"/>
        <v>0</v>
      </c>
    </row>
    <row r="83" spans="1:7" x14ac:dyDescent="0.2">
      <c r="A83" s="4">
        <v>78</v>
      </c>
      <c r="B83" s="97"/>
      <c r="C83" s="3"/>
      <c r="D83" s="81" t="str">
        <f>IFERROR(VLOOKUP(C83, 'Daily Sales Summary Report'!$B$6:$C$47, 2, FALSE),"")</f>
        <v/>
      </c>
      <c r="E83" s="2"/>
      <c r="F83" s="8"/>
      <c r="G83" s="7">
        <f t="shared" si="1"/>
        <v>0</v>
      </c>
    </row>
    <row r="84" spans="1:7" x14ac:dyDescent="0.2">
      <c r="A84" s="4">
        <v>79</v>
      </c>
      <c r="B84" s="97"/>
      <c r="C84" s="3"/>
      <c r="D84" s="81" t="str">
        <f>IFERROR(VLOOKUP(C84, 'Daily Sales Summary Report'!$B$6:$C$47, 2, FALSE),"")</f>
        <v/>
      </c>
      <c r="E84" s="2"/>
      <c r="F84" s="8"/>
      <c r="G84" s="7">
        <f t="shared" si="1"/>
        <v>0</v>
      </c>
    </row>
    <row r="85" spans="1:7" x14ac:dyDescent="0.2">
      <c r="A85" s="4">
        <v>80</v>
      </c>
      <c r="B85" s="97"/>
      <c r="C85" s="3"/>
      <c r="D85" s="81" t="str">
        <f>IFERROR(VLOOKUP(C85, 'Daily Sales Summary Report'!$B$6:$C$47, 2, FALSE),"")</f>
        <v/>
      </c>
      <c r="E85" s="2"/>
      <c r="F85" s="8"/>
      <c r="G85" s="7">
        <f t="shared" si="1"/>
        <v>0</v>
      </c>
    </row>
    <row r="86" spans="1:7" x14ac:dyDescent="0.2">
      <c r="A86" s="4">
        <v>81</v>
      </c>
      <c r="B86" s="97"/>
      <c r="C86" s="3"/>
      <c r="D86" s="81" t="str">
        <f>IFERROR(VLOOKUP(C86, 'Daily Sales Summary Report'!$B$6:$C$47, 2, FALSE),"")</f>
        <v/>
      </c>
      <c r="E86" s="2"/>
      <c r="F86" s="8"/>
      <c r="G86" s="7">
        <f t="shared" si="1"/>
        <v>0</v>
      </c>
    </row>
    <row r="87" spans="1:7" x14ac:dyDescent="0.2">
      <c r="A87" s="4">
        <v>82</v>
      </c>
      <c r="B87" s="97"/>
      <c r="C87" s="3"/>
      <c r="D87" s="81" t="str">
        <f>IFERROR(VLOOKUP(C87, 'Daily Sales Summary Report'!$B$6:$C$47, 2, FALSE),"")</f>
        <v/>
      </c>
      <c r="E87" s="2"/>
      <c r="F87" s="8"/>
      <c r="G87" s="7">
        <f t="shared" si="1"/>
        <v>0</v>
      </c>
    </row>
    <row r="88" spans="1:7" x14ac:dyDescent="0.2">
      <c r="A88" s="4">
        <v>83</v>
      </c>
      <c r="B88" s="97"/>
      <c r="C88" s="3"/>
      <c r="D88" s="81" t="str">
        <f>IFERROR(VLOOKUP(C88, 'Daily Sales Summary Report'!$B$6:$C$47, 2, FALSE),"")</f>
        <v/>
      </c>
      <c r="E88" s="2"/>
      <c r="F88" s="8"/>
      <c r="G88" s="7">
        <f t="shared" si="1"/>
        <v>0</v>
      </c>
    </row>
    <row r="89" spans="1:7" x14ac:dyDescent="0.2">
      <c r="A89" s="4">
        <v>84</v>
      </c>
      <c r="B89" s="97"/>
      <c r="C89" s="3"/>
      <c r="D89" s="81" t="str">
        <f>IFERROR(VLOOKUP(C89, 'Daily Sales Summary Report'!$B$6:$C$47, 2, FALSE),"")</f>
        <v/>
      </c>
      <c r="E89" s="2"/>
      <c r="F89" s="8"/>
      <c r="G89" s="7">
        <f t="shared" si="1"/>
        <v>0</v>
      </c>
    </row>
    <row r="90" spans="1:7" x14ac:dyDescent="0.2">
      <c r="A90" s="4">
        <v>85</v>
      </c>
      <c r="B90" s="97"/>
      <c r="C90" s="3"/>
      <c r="D90" s="81" t="str">
        <f>IFERROR(VLOOKUP(C90, 'Daily Sales Summary Report'!$B$6:$C$47, 2, FALSE),"")</f>
        <v/>
      </c>
      <c r="E90" s="2"/>
      <c r="F90" s="8"/>
      <c r="G90" s="7">
        <f t="shared" si="1"/>
        <v>0</v>
      </c>
    </row>
    <row r="91" spans="1:7" x14ac:dyDescent="0.2">
      <c r="A91" s="4">
        <v>86</v>
      </c>
      <c r="B91" s="97"/>
      <c r="C91" s="3"/>
      <c r="D91" s="81" t="str">
        <f>IFERROR(VLOOKUP(C91, 'Daily Sales Summary Report'!$B$6:$C$47, 2, FALSE),"")</f>
        <v/>
      </c>
      <c r="E91" s="2"/>
      <c r="F91" s="8"/>
      <c r="G91" s="7">
        <f t="shared" si="1"/>
        <v>0</v>
      </c>
    </row>
    <row r="92" spans="1:7" x14ac:dyDescent="0.2">
      <c r="A92" s="4">
        <v>87</v>
      </c>
      <c r="B92" s="97"/>
      <c r="C92" s="3"/>
      <c r="D92" s="81" t="str">
        <f>IFERROR(VLOOKUP(C92, 'Daily Sales Summary Report'!$B$6:$C$47, 2, FALSE),"")</f>
        <v/>
      </c>
      <c r="E92" s="2"/>
      <c r="F92" s="8"/>
      <c r="G92" s="7">
        <f t="shared" si="1"/>
        <v>0</v>
      </c>
    </row>
    <row r="93" spans="1:7" x14ac:dyDescent="0.2">
      <c r="A93" s="4">
        <v>88</v>
      </c>
      <c r="B93" s="97"/>
      <c r="C93" s="3"/>
      <c r="D93" s="81" t="str">
        <f>IFERROR(VLOOKUP(C93, 'Daily Sales Summary Report'!$B$6:$C$47, 2, FALSE),"")</f>
        <v/>
      </c>
      <c r="E93" s="2"/>
      <c r="F93" s="8"/>
      <c r="G93" s="7">
        <f t="shared" si="1"/>
        <v>0</v>
      </c>
    </row>
    <row r="94" spans="1:7" x14ac:dyDescent="0.2">
      <c r="A94" s="4">
        <v>89</v>
      </c>
      <c r="B94" s="97"/>
      <c r="C94" s="3"/>
      <c r="D94" s="81" t="str">
        <f>IFERROR(VLOOKUP(C94, 'Daily Sales Summary Report'!$B$6:$C$47, 2, FALSE),"")</f>
        <v/>
      </c>
      <c r="E94" s="2"/>
      <c r="F94" s="8"/>
      <c r="G94" s="7">
        <f t="shared" si="1"/>
        <v>0</v>
      </c>
    </row>
    <row r="95" spans="1:7" x14ac:dyDescent="0.2">
      <c r="A95" s="4">
        <v>90</v>
      </c>
      <c r="B95" s="97"/>
      <c r="C95" s="3"/>
      <c r="D95" s="81" t="str">
        <f>IFERROR(VLOOKUP(C95, 'Daily Sales Summary Report'!$B$6:$C$47, 2, FALSE),"")</f>
        <v/>
      </c>
      <c r="E95" s="2"/>
      <c r="F95" s="8"/>
      <c r="G95" s="7">
        <f t="shared" si="1"/>
        <v>0</v>
      </c>
    </row>
    <row r="96" spans="1:7" x14ac:dyDescent="0.2">
      <c r="A96" s="4">
        <v>91</v>
      </c>
      <c r="B96" s="97"/>
      <c r="C96" s="3"/>
      <c r="D96" s="81" t="str">
        <f>IFERROR(VLOOKUP(C96, 'Daily Sales Summary Report'!$B$6:$C$47, 2, FALSE),"")</f>
        <v/>
      </c>
      <c r="E96" s="2"/>
      <c r="F96" s="8"/>
      <c r="G96" s="7">
        <f t="shared" si="1"/>
        <v>0</v>
      </c>
    </row>
    <row r="97" spans="1:7" x14ac:dyDescent="0.2">
      <c r="A97" s="4">
        <v>92</v>
      </c>
      <c r="B97" s="97"/>
      <c r="C97" s="3"/>
      <c r="D97" s="81" t="str">
        <f>IFERROR(VLOOKUP(C97, 'Daily Sales Summary Report'!$B$6:$C$47, 2, FALSE),"")</f>
        <v/>
      </c>
      <c r="E97" s="2"/>
      <c r="F97" s="8"/>
      <c r="G97" s="7">
        <f t="shared" si="1"/>
        <v>0</v>
      </c>
    </row>
    <row r="98" spans="1:7" x14ac:dyDescent="0.2">
      <c r="A98" s="4">
        <v>93</v>
      </c>
      <c r="B98" s="97"/>
      <c r="C98" s="3"/>
      <c r="D98" s="81" t="str">
        <f>IFERROR(VLOOKUP(C98, 'Daily Sales Summary Report'!$B$6:$C$47, 2, FALSE),"")</f>
        <v/>
      </c>
      <c r="E98" s="2"/>
      <c r="F98" s="8"/>
      <c r="G98" s="7">
        <f t="shared" si="1"/>
        <v>0</v>
      </c>
    </row>
    <row r="99" spans="1:7" x14ac:dyDescent="0.2">
      <c r="A99" s="4">
        <v>94</v>
      </c>
      <c r="B99" s="97"/>
      <c r="C99" s="3"/>
      <c r="D99" s="81" t="str">
        <f>IFERROR(VLOOKUP(C99, 'Daily Sales Summary Report'!$B$6:$C$47, 2, FALSE),"")</f>
        <v/>
      </c>
      <c r="E99" s="2"/>
      <c r="F99" s="8"/>
      <c r="G99" s="7">
        <f t="shared" si="1"/>
        <v>0</v>
      </c>
    </row>
    <row r="100" spans="1:7" x14ac:dyDescent="0.2">
      <c r="A100" s="4">
        <v>95</v>
      </c>
      <c r="B100" s="97"/>
      <c r="C100" s="3"/>
      <c r="D100" s="81" t="str">
        <f>IFERROR(VLOOKUP(C100, 'Daily Sales Summary Report'!$B$6:$C$47, 2, FALSE),"")</f>
        <v/>
      </c>
      <c r="E100" s="2"/>
      <c r="F100" s="8"/>
      <c r="G100" s="7">
        <f t="shared" si="1"/>
        <v>0</v>
      </c>
    </row>
    <row r="101" spans="1:7" x14ac:dyDescent="0.2">
      <c r="A101" s="4">
        <v>96</v>
      </c>
      <c r="B101" s="97"/>
      <c r="C101" s="3"/>
      <c r="D101" s="81" t="str">
        <f>IFERROR(VLOOKUP(C101, 'Daily Sales Summary Report'!$B$6:$C$47, 2, FALSE),"")</f>
        <v/>
      </c>
      <c r="E101" s="2"/>
      <c r="F101" s="8"/>
      <c r="G101" s="7">
        <f t="shared" si="1"/>
        <v>0</v>
      </c>
    </row>
    <row r="102" spans="1:7" x14ac:dyDescent="0.2">
      <c r="A102" s="4">
        <v>97</v>
      </c>
      <c r="B102" s="97"/>
      <c r="C102" s="3"/>
      <c r="D102" s="81" t="str">
        <f>IFERROR(VLOOKUP(C102, 'Daily Sales Summary Report'!$B$6:$C$47, 2, FALSE),"")</f>
        <v/>
      </c>
      <c r="E102" s="2"/>
      <c r="F102" s="8"/>
      <c r="G102" s="7">
        <f t="shared" si="1"/>
        <v>0</v>
      </c>
    </row>
    <row r="103" spans="1:7" x14ac:dyDescent="0.2">
      <c r="A103" s="4">
        <v>98</v>
      </c>
      <c r="B103" s="97"/>
      <c r="C103" s="3"/>
      <c r="D103" s="81" t="str">
        <f>IFERROR(VLOOKUP(C103, 'Daily Sales Summary Report'!$B$6:$C$47, 2, FALSE),"")</f>
        <v/>
      </c>
      <c r="E103" s="2"/>
      <c r="F103" s="8"/>
      <c r="G103" s="7">
        <f t="shared" si="1"/>
        <v>0</v>
      </c>
    </row>
    <row r="104" spans="1:7" x14ac:dyDescent="0.2">
      <c r="A104" s="4">
        <v>99</v>
      </c>
      <c r="B104" s="97"/>
      <c r="C104" s="3"/>
      <c r="D104" s="81" t="str">
        <f>IFERROR(VLOOKUP(C104, 'Daily Sales Summary Report'!$B$6:$C$47, 2, FALSE),"")</f>
        <v/>
      </c>
      <c r="E104" s="2"/>
      <c r="F104" s="8"/>
      <c r="G104" s="7">
        <f t="shared" si="1"/>
        <v>0</v>
      </c>
    </row>
    <row r="105" spans="1:7" x14ac:dyDescent="0.2">
      <c r="A105" s="4">
        <v>100</v>
      </c>
      <c r="B105" s="97"/>
      <c r="C105" s="3"/>
      <c r="D105" s="81" t="str">
        <f>IFERROR(VLOOKUP(C105, 'Daily Sales Summary Report'!$B$6:$C$47, 2, FALSE),"")</f>
        <v/>
      </c>
      <c r="E105" s="2"/>
      <c r="F105" s="8"/>
      <c r="G105" s="7">
        <f t="shared" si="1"/>
        <v>0</v>
      </c>
    </row>
    <row r="106" spans="1:7" x14ac:dyDescent="0.2">
      <c r="A106" s="4">
        <v>101</v>
      </c>
      <c r="B106" s="97"/>
      <c r="C106" s="3"/>
      <c r="D106" s="81" t="str">
        <f>IFERROR(VLOOKUP(C106, 'Daily Sales Summary Report'!$B$6:$C$47, 2, FALSE),"")</f>
        <v/>
      </c>
      <c r="E106" s="2"/>
      <c r="F106" s="8"/>
      <c r="G106" s="7">
        <f t="shared" si="1"/>
        <v>0</v>
      </c>
    </row>
    <row r="107" spans="1:7" x14ac:dyDescent="0.2">
      <c r="A107" s="4">
        <v>102</v>
      </c>
      <c r="B107" s="97"/>
      <c r="C107" s="3"/>
      <c r="D107" s="81" t="str">
        <f>IFERROR(VLOOKUP(C107, 'Daily Sales Summary Report'!$B$6:$C$47, 2, FALSE),"")</f>
        <v/>
      </c>
      <c r="E107" s="2"/>
      <c r="F107" s="8"/>
      <c r="G107" s="7">
        <f t="shared" si="1"/>
        <v>0</v>
      </c>
    </row>
    <row r="108" spans="1:7" x14ac:dyDescent="0.2">
      <c r="A108" s="4">
        <v>103</v>
      </c>
      <c r="B108" s="97"/>
      <c r="C108" s="3"/>
      <c r="D108" s="81" t="str">
        <f>IFERROR(VLOOKUP(C108, 'Daily Sales Summary Report'!$B$6:$C$47, 2, FALSE),"")</f>
        <v/>
      </c>
      <c r="E108" s="2"/>
      <c r="F108" s="8"/>
      <c r="G108" s="7">
        <f t="shared" si="1"/>
        <v>0</v>
      </c>
    </row>
    <row r="109" spans="1:7" x14ac:dyDescent="0.2">
      <c r="A109" s="4">
        <v>104</v>
      </c>
      <c r="B109" s="97"/>
      <c r="C109" s="3"/>
      <c r="D109" s="81" t="str">
        <f>IFERROR(VLOOKUP(C109, 'Daily Sales Summary Report'!$B$6:$C$47, 2, FALSE),"")</f>
        <v/>
      </c>
      <c r="E109" s="2"/>
      <c r="F109" s="8"/>
      <c r="G109" s="7">
        <f t="shared" si="1"/>
        <v>0</v>
      </c>
    </row>
    <row r="110" spans="1:7" x14ac:dyDescent="0.2">
      <c r="A110" s="4">
        <v>105</v>
      </c>
      <c r="B110" s="97"/>
      <c r="C110" s="3"/>
      <c r="D110" s="81" t="str">
        <f>IFERROR(VLOOKUP(C110, 'Daily Sales Summary Report'!$B$6:$C$47, 2, FALSE),"")</f>
        <v/>
      </c>
      <c r="E110" s="2"/>
      <c r="F110" s="8"/>
      <c r="G110" s="7">
        <f t="shared" si="1"/>
        <v>0</v>
      </c>
    </row>
    <row r="111" spans="1:7" x14ac:dyDescent="0.2">
      <c r="A111" s="4">
        <v>106</v>
      </c>
      <c r="B111" s="97"/>
      <c r="C111" s="3"/>
      <c r="D111" s="81" t="str">
        <f>IFERROR(VLOOKUP(C111, 'Daily Sales Summary Report'!$B$6:$C$47, 2, FALSE),"")</f>
        <v/>
      </c>
      <c r="E111" s="2"/>
      <c r="F111" s="8"/>
      <c r="G111" s="7">
        <f t="shared" si="1"/>
        <v>0</v>
      </c>
    </row>
    <row r="112" spans="1:7" x14ac:dyDescent="0.2">
      <c r="A112" s="4">
        <v>107</v>
      </c>
      <c r="B112" s="97"/>
      <c r="C112" s="3"/>
      <c r="D112" s="81" t="str">
        <f>IFERROR(VLOOKUP(C112, 'Daily Sales Summary Report'!$B$6:$C$47, 2, FALSE),"")</f>
        <v/>
      </c>
      <c r="E112" s="2"/>
      <c r="F112" s="8"/>
      <c r="G112" s="7">
        <f t="shared" si="1"/>
        <v>0</v>
      </c>
    </row>
    <row r="113" spans="1:7" x14ac:dyDescent="0.2">
      <c r="A113" s="4">
        <v>108</v>
      </c>
      <c r="B113" s="97"/>
      <c r="C113" s="3"/>
      <c r="D113" s="81" t="str">
        <f>IFERROR(VLOOKUP(C113, 'Daily Sales Summary Report'!$B$6:$C$47, 2, FALSE),"")</f>
        <v/>
      </c>
      <c r="E113" s="2"/>
      <c r="F113" s="8"/>
      <c r="G113" s="7">
        <f t="shared" si="1"/>
        <v>0</v>
      </c>
    </row>
    <row r="114" spans="1:7" x14ac:dyDescent="0.2">
      <c r="A114" s="4">
        <v>109</v>
      </c>
      <c r="B114" s="97"/>
      <c r="C114" s="3"/>
      <c r="D114" s="81" t="str">
        <f>IFERROR(VLOOKUP(C114, 'Daily Sales Summary Report'!$B$6:$C$47, 2, FALSE),"")</f>
        <v/>
      </c>
      <c r="E114" s="2"/>
      <c r="F114" s="8"/>
      <c r="G114" s="7">
        <f t="shared" si="1"/>
        <v>0</v>
      </c>
    </row>
    <row r="115" spans="1:7" x14ac:dyDescent="0.2">
      <c r="A115" s="4">
        <v>110</v>
      </c>
      <c r="B115" s="97"/>
      <c r="C115" s="3"/>
      <c r="D115" s="81" t="str">
        <f>IFERROR(VLOOKUP(C115, 'Daily Sales Summary Report'!$B$6:$C$47, 2, FALSE),"")</f>
        <v/>
      </c>
      <c r="E115" s="2"/>
      <c r="F115" s="8"/>
      <c r="G115" s="7">
        <f t="shared" si="1"/>
        <v>0</v>
      </c>
    </row>
    <row r="116" spans="1:7" x14ac:dyDescent="0.2">
      <c r="A116" s="4">
        <v>111</v>
      </c>
      <c r="B116" s="97"/>
      <c r="C116" s="3"/>
      <c r="D116" s="81" t="str">
        <f>IFERROR(VLOOKUP(C116, 'Daily Sales Summary Report'!$B$6:$C$47, 2, FALSE),"")</f>
        <v/>
      </c>
      <c r="E116" s="2"/>
      <c r="F116" s="8"/>
      <c r="G116" s="7">
        <f t="shared" si="1"/>
        <v>0</v>
      </c>
    </row>
    <row r="117" spans="1:7" x14ac:dyDescent="0.2">
      <c r="A117" s="4">
        <v>112</v>
      </c>
      <c r="B117" s="97"/>
      <c r="C117" s="3"/>
      <c r="D117" s="81" t="str">
        <f>IFERROR(VLOOKUP(C117, 'Daily Sales Summary Report'!$B$6:$C$47, 2, FALSE),"")</f>
        <v/>
      </c>
      <c r="E117" s="2"/>
      <c r="F117" s="8"/>
      <c r="G117" s="7">
        <f t="shared" si="1"/>
        <v>0</v>
      </c>
    </row>
    <row r="118" spans="1:7" x14ac:dyDescent="0.2">
      <c r="A118" s="4">
        <v>113</v>
      </c>
      <c r="B118" s="97"/>
      <c r="C118" s="3"/>
      <c r="D118" s="81" t="str">
        <f>IFERROR(VLOOKUP(C118, 'Daily Sales Summary Report'!$B$6:$C$47, 2, FALSE),"")</f>
        <v/>
      </c>
      <c r="E118" s="2"/>
      <c r="F118" s="8"/>
      <c r="G118" s="7">
        <f t="shared" si="1"/>
        <v>0</v>
      </c>
    </row>
    <row r="119" spans="1:7" x14ac:dyDescent="0.2">
      <c r="A119" s="4">
        <v>114</v>
      </c>
      <c r="B119" s="97"/>
      <c r="C119" s="3"/>
      <c r="D119" s="81" t="str">
        <f>IFERROR(VLOOKUP(C119, 'Daily Sales Summary Report'!$B$6:$C$47, 2, FALSE),"")</f>
        <v/>
      </c>
      <c r="E119" s="2"/>
      <c r="F119" s="8"/>
      <c r="G119" s="7">
        <f t="shared" si="1"/>
        <v>0</v>
      </c>
    </row>
    <row r="120" spans="1:7" x14ac:dyDescent="0.2">
      <c r="A120" s="4">
        <v>115</v>
      </c>
      <c r="B120" s="97"/>
      <c r="C120" s="3"/>
      <c r="D120" s="81" t="str">
        <f>IFERROR(VLOOKUP(C120, 'Daily Sales Summary Report'!$B$6:$C$47, 2, FALSE),"")</f>
        <v/>
      </c>
      <c r="E120" s="2"/>
      <c r="F120" s="8"/>
      <c r="G120" s="7">
        <f t="shared" si="1"/>
        <v>0</v>
      </c>
    </row>
    <row r="121" spans="1:7" x14ac:dyDescent="0.2">
      <c r="A121" s="4">
        <v>116</v>
      </c>
      <c r="B121" s="97"/>
      <c r="C121" s="3"/>
      <c r="D121" s="81" t="str">
        <f>IFERROR(VLOOKUP(C121, 'Daily Sales Summary Report'!$B$6:$C$47, 2, FALSE),"")</f>
        <v/>
      </c>
      <c r="E121" s="2"/>
      <c r="F121" s="8"/>
      <c r="G121" s="7">
        <f t="shared" si="1"/>
        <v>0</v>
      </c>
    </row>
    <row r="122" spans="1:7" x14ac:dyDescent="0.2">
      <c r="A122" s="4">
        <v>117</v>
      </c>
      <c r="B122" s="97"/>
      <c r="C122" s="3"/>
      <c r="D122" s="81" t="str">
        <f>IFERROR(VLOOKUP(C122, 'Daily Sales Summary Report'!$B$6:$C$47, 2, FALSE),"")</f>
        <v/>
      </c>
      <c r="E122" s="2"/>
      <c r="F122" s="8"/>
      <c r="G122" s="7">
        <f t="shared" si="1"/>
        <v>0</v>
      </c>
    </row>
    <row r="123" spans="1:7" x14ac:dyDescent="0.2">
      <c r="A123" s="4">
        <v>118</v>
      </c>
      <c r="B123" s="97"/>
      <c r="C123" s="3"/>
      <c r="D123" s="81" t="str">
        <f>IFERROR(VLOOKUP(C123, 'Daily Sales Summary Report'!$B$6:$C$47, 2, FALSE),"")</f>
        <v/>
      </c>
      <c r="E123" s="2"/>
      <c r="F123" s="8"/>
      <c r="G123" s="7">
        <f t="shared" si="1"/>
        <v>0</v>
      </c>
    </row>
    <row r="124" spans="1:7" x14ac:dyDescent="0.2">
      <c r="A124" s="4">
        <v>119</v>
      </c>
      <c r="B124" s="97"/>
      <c r="C124" s="3"/>
      <c r="D124" s="81" t="str">
        <f>IFERROR(VLOOKUP(C124, 'Daily Sales Summary Report'!$B$6:$C$47, 2, FALSE),"")</f>
        <v/>
      </c>
      <c r="E124" s="2"/>
      <c r="F124" s="8"/>
      <c r="G124" s="7">
        <f t="shared" si="1"/>
        <v>0</v>
      </c>
    </row>
    <row r="125" spans="1:7" x14ac:dyDescent="0.2">
      <c r="A125" s="4">
        <v>120</v>
      </c>
      <c r="B125" s="97"/>
      <c r="C125" s="3"/>
      <c r="D125" s="81" t="str">
        <f>IFERROR(VLOOKUP(C125, 'Daily Sales Summary Report'!$B$6:$C$47, 2, FALSE),"")</f>
        <v/>
      </c>
      <c r="E125" s="2"/>
      <c r="F125" s="8"/>
      <c r="G125" s="7">
        <f t="shared" si="1"/>
        <v>0</v>
      </c>
    </row>
    <row r="126" spans="1:7" x14ac:dyDescent="0.2">
      <c r="A126" s="4">
        <v>121</v>
      </c>
      <c r="B126" s="97"/>
      <c r="C126" s="3"/>
      <c r="D126" s="81" t="str">
        <f>IFERROR(VLOOKUP(C126, 'Daily Sales Summary Report'!$B$6:$C$47, 2, FALSE),"")</f>
        <v/>
      </c>
      <c r="E126" s="2"/>
      <c r="F126" s="8"/>
      <c r="G126" s="7">
        <f t="shared" si="1"/>
        <v>0</v>
      </c>
    </row>
    <row r="127" spans="1:7" x14ac:dyDescent="0.2">
      <c r="A127" s="4">
        <v>122</v>
      </c>
      <c r="B127" s="97"/>
      <c r="C127" s="3"/>
      <c r="D127" s="81" t="str">
        <f>IFERROR(VLOOKUP(C127, 'Daily Sales Summary Report'!$B$6:$C$47, 2, FALSE),"")</f>
        <v/>
      </c>
      <c r="E127" s="2"/>
      <c r="F127" s="8"/>
      <c r="G127" s="7">
        <f t="shared" si="1"/>
        <v>0</v>
      </c>
    </row>
    <row r="128" spans="1:7" x14ac:dyDescent="0.2">
      <c r="A128" s="4">
        <v>123</v>
      </c>
      <c r="B128" s="97"/>
      <c r="C128" s="3"/>
      <c r="D128" s="81" t="str">
        <f>IFERROR(VLOOKUP(C128, 'Daily Sales Summary Report'!$B$6:$C$47, 2, FALSE),"")</f>
        <v/>
      </c>
      <c r="E128" s="2"/>
      <c r="F128" s="8"/>
      <c r="G128" s="7">
        <f t="shared" si="1"/>
        <v>0</v>
      </c>
    </row>
    <row r="129" spans="1:7" x14ac:dyDescent="0.2">
      <c r="A129" s="4">
        <v>124</v>
      </c>
      <c r="B129" s="97"/>
      <c r="C129" s="3"/>
      <c r="D129" s="81" t="str">
        <f>IFERROR(VLOOKUP(C129, 'Daily Sales Summary Report'!$B$6:$C$47, 2, FALSE),"")</f>
        <v/>
      </c>
      <c r="E129" s="2"/>
      <c r="F129" s="8"/>
      <c r="G129" s="7">
        <f t="shared" si="1"/>
        <v>0</v>
      </c>
    </row>
    <row r="130" spans="1:7" x14ac:dyDescent="0.2">
      <c r="A130" s="4">
        <v>125</v>
      </c>
      <c r="B130" s="97"/>
      <c r="C130" s="3"/>
      <c r="D130" s="81" t="str">
        <f>IFERROR(VLOOKUP(C130, 'Daily Sales Summary Report'!$B$6:$C$47, 2, FALSE),"")</f>
        <v/>
      </c>
      <c r="E130" s="2"/>
      <c r="F130" s="8"/>
      <c r="G130" s="7">
        <f t="shared" si="1"/>
        <v>0</v>
      </c>
    </row>
    <row r="131" spans="1:7" x14ac:dyDescent="0.2">
      <c r="A131" s="4">
        <v>126</v>
      </c>
      <c r="B131" s="97"/>
      <c r="C131" s="3"/>
      <c r="D131" s="81" t="str">
        <f>IFERROR(VLOOKUP(C131, 'Daily Sales Summary Report'!$B$6:$C$47, 2, FALSE),"")</f>
        <v/>
      </c>
      <c r="E131" s="2"/>
      <c r="F131" s="8"/>
      <c r="G131" s="7">
        <f t="shared" si="1"/>
        <v>0</v>
      </c>
    </row>
    <row r="132" spans="1:7" x14ac:dyDescent="0.2">
      <c r="A132" s="4">
        <v>127</v>
      </c>
      <c r="B132" s="97"/>
      <c r="C132" s="3"/>
      <c r="D132" s="81" t="str">
        <f>IFERROR(VLOOKUP(C132, 'Daily Sales Summary Report'!$B$6:$C$47, 2, FALSE),"")</f>
        <v/>
      </c>
      <c r="E132" s="2"/>
      <c r="F132" s="8"/>
      <c r="G132" s="7">
        <f t="shared" si="1"/>
        <v>0</v>
      </c>
    </row>
    <row r="133" spans="1:7" x14ac:dyDescent="0.2">
      <c r="A133" s="4">
        <v>128</v>
      </c>
      <c r="B133" s="97"/>
      <c r="C133" s="3"/>
      <c r="D133" s="81" t="str">
        <f>IFERROR(VLOOKUP(C133, 'Daily Sales Summary Report'!$B$6:$C$47, 2, FALSE),"")</f>
        <v/>
      </c>
      <c r="E133" s="2"/>
      <c r="F133" s="8"/>
      <c r="G133" s="7">
        <f t="shared" si="1"/>
        <v>0</v>
      </c>
    </row>
    <row r="134" spans="1:7" x14ac:dyDescent="0.2">
      <c r="A134" s="4">
        <v>129</v>
      </c>
      <c r="B134" s="97"/>
      <c r="C134" s="3"/>
      <c r="D134" s="81" t="str">
        <f>IFERROR(VLOOKUP(C134, 'Daily Sales Summary Report'!$B$6:$C$47, 2, FALSE),"")</f>
        <v/>
      </c>
      <c r="E134" s="2"/>
      <c r="F134" s="8"/>
      <c r="G134" s="7">
        <f t="shared" si="1"/>
        <v>0</v>
      </c>
    </row>
    <row r="135" spans="1:7" x14ac:dyDescent="0.2">
      <c r="A135" s="4">
        <v>130</v>
      </c>
      <c r="B135" s="97"/>
      <c r="C135" s="3"/>
      <c r="D135" s="81" t="str">
        <f>IFERROR(VLOOKUP(C135, 'Daily Sales Summary Report'!$B$6:$C$47, 2, FALSE),"")</f>
        <v/>
      </c>
      <c r="E135" s="2"/>
      <c r="F135" s="8"/>
      <c r="G135" s="7">
        <f t="shared" ref="G135:G198" si="2">IFERROR(E135*D135-F135,0)</f>
        <v>0</v>
      </c>
    </row>
    <row r="136" spans="1:7" x14ac:dyDescent="0.2">
      <c r="A136" s="4">
        <v>131</v>
      </c>
      <c r="B136" s="97"/>
      <c r="C136" s="3"/>
      <c r="D136" s="81" t="str">
        <f>IFERROR(VLOOKUP(C136, 'Daily Sales Summary Report'!$B$6:$C$47, 2, FALSE),"")</f>
        <v/>
      </c>
      <c r="E136" s="2"/>
      <c r="F136" s="8"/>
      <c r="G136" s="7">
        <f t="shared" si="2"/>
        <v>0</v>
      </c>
    </row>
    <row r="137" spans="1:7" x14ac:dyDescent="0.2">
      <c r="A137" s="4">
        <v>132</v>
      </c>
      <c r="B137" s="97"/>
      <c r="C137" s="3"/>
      <c r="D137" s="81" t="str">
        <f>IFERROR(VLOOKUP(C137, 'Daily Sales Summary Report'!$B$6:$C$47, 2, FALSE),"")</f>
        <v/>
      </c>
      <c r="E137" s="2"/>
      <c r="F137" s="8"/>
      <c r="G137" s="7">
        <f t="shared" si="2"/>
        <v>0</v>
      </c>
    </row>
    <row r="138" spans="1:7" x14ac:dyDescent="0.2">
      <c r="A138" s="4">
        <v>133</v>
      </c>
      <c r="B138" s="97"/>
      <c r="C138" s="3"/>
      <c r="D138" s="81" t="str">
        <f>IFERROR(VLOOKUP(C138, 'Daily Sales Summary Report'!$B$6:$C$47, 2, FALSE),"")</f>
        <v/>
      </c>
      <c r="E138" s="2"/>
      <c r="F138" s="8"/>
      <c r="G138" s="7">
        <f t="shared" si="2"/>
        <v>0</v>
      </c>
    </row>
    <row r="139" spans="1:7" x14ac:dyDescent="0.2">
      <c r="A139" s="4">
        <v>134</v>
      </c>
      <c r="B139" s="97"/>
      <c r="C139" s="3"/>
      <c r="D139" s="81" t="str">
        <f>IFERROR(VLOOKUP(C139, 'Daily Sales Summary Report'!$B$6:$C$47, 2, FALSE),"")</f>
        <v/>
      </c>
      <c r="E139" s="2"/>
      <c r="F139" s="8"/>
      <c r="G139" s="7">
        <f t="shared" si="2"/>
        <v>0</v>
      </c>
    </row>
    <row r="140" spans="1:7" x14ac:dyDescent="0.2">
      <c r="A140" s="4">
        <v>135</v>
      </c>
      <c r="B140" s="97"/>
      <c r="C140" s="3"/>
      <c r="D140" s="81" t="str">
        <f>IFERROR(VLOOKUP(C140, 'Daily Sales Summary Report'!$B$6:$C$47, 2, FALSE),"")</f>
        <v/>
      </c>
      <c r="E140" s="2"/>
      <c r="F140" s="8"/>
      <c r="G140" s="7">
        <f t="shared" si="2"/>
        <v>0</v>
      </c>
    </row>
    <row r="141" spans="1:7" x14ac:dyDescent="0.2">
      <c r="A141" s="4">
        <v>136</v>
      </c>
      <c r="B141" s="97"/>
      <c r="C141" s="3"/>
      <c r="D141" s="81" t="str">
        <f>IFERROR(VLOOKUP(C141, 'Daily Sales Summary Report'!$B$6:$C$47, 2, FALSE),"")</f>
        <v/>
      </c>
      <c r="E141" s="2"/>
      <c r="F141" s="8"/>
      <c r="G141" s="7">
        <f t="shared" si="2"/>
        <v>0</v>
      </c>
    </row>
    <row r="142" spans="1:7" x14ac:dyDescent="0.2">
      <c r="A142" s="4">
        <v>137</v>
      </c>
      <c r="B142" s="97"/>
      <c r="C142" s="3"/>
      <c r="D142" s="81" t="str">
        <f>IFERROR(VLOOKUP(C142, 'Daily Sales Summary Report'!$B$6:$C$47, 2, FALSE),"")</f>
        <v/>
      </c>
      <c r="E142" s="2"/>
      <c r="F142" s="8"/>
      <c r="G142" s="7">
        <f t="shared" si="2"/>
        <v>0</v>
      </c>
    </row>
    <row r="143" spans="1:7" x14ac:dyDescent="0.2">
      <c r="A143" s="4">
        <v>138</v>
      </c>
      <c r="B143" s="97"/>
      <c r="C143" s="3"/>
      <c r="D143" s="81" t="str">
        <f>IFERROR(VLOOKUP(C143, 'Daily Sales Summary Report'!$B$6:$C$47, 2, FALSE),"")</f>
        <v/>
      </c>
      <c r="E143" s="2"/>
      <c r="F143" s="8"/>
      <c r="G143" s="7">
        <f t="shared" si="2"/>
        <v>0</v>
      </c>
    </row>
    <row r="144" spans="1:7" x14ac:dyDescent="0.2">
      <c r="A144" s="4">
        <v>139</v>
      </c>
      <c r="B144" s="97"/>
      <c r="C144" s="3"/>
      <c r="D144" s="81" t="str">
        <f>IFERROR(VLOOKUP(C144, 'Daily Sales Summary Report'!$B$6:$C$47, 2, FALSE),"")</f>
        <v/>
      </c>
      <c r="E144" s="2"/>
      <c r="F144" s="8"/>
      <c r="G144" s="7">
        <f t="shared" si="2"/>
        <v>0</v>
      </c>
    </row>
    <row r="145" spans="1:7" x14ac:dyDescent="0.2">
      <c r="A145" s="4">
        <v>140</v>
      </c>
      <c r="B145" s="97"/>
      <c r="C145" s="3"/>
      <c r="D145" s="81" t="str">
        <f>IFERROR(VLOOKUP(C145, 'Daily Sales Summary Report'!$B$6:$C$47, 2, FALSE),"")</f>
        <v/>
      </c>
      <c r="E145" s="2"/>
      <c r="F145" s="8"/>
      <c r="G145" s="7">
        <f t="shared" si="2"/>
        <v>0</v>
      </c>
    </row>
    <row r="146" spans="1:7" x14ac:dyDescent="0.2">
      <c r="A146" s="4">
        <v>141</v>
      </c>
      <c r="B146" s="97"/>
      <c r="C146" s="3"/>
      <c r="D146" s="81" t="str">
        <f>IFERROR(VLOOKUP(C146, 'Daily Sales Summary Report'!$B$6:$C$47, 2, FALSE),"")</f>
        <v/>
      </c>
      <c r="E146" s="2"/>
      <c r="F146" s="8"/>
      <c r="G146" s="7">
        <f t="shared" si="2"/>
        <v>0</v>
      </c>
    </row>
    <row r="147" spans="1:7" x14ac:dyDescent="0.2">
      <c r="A147" s="4">
        <v>142</v>
      </c>
      <c r="B147" s="97"/>
      <c r="C147" s="3"/>
      <c r="D147" s="81" t="str">
        <f>IFERROR(VLOOKUP(C147, 'Daily Sales Summary Report'!$B$6:$C$47, 2, FALSE),"")</f>
        <v/>
      </c>
      <c r="E147" s="2"/>
      <c r="F147" s="8"/>
      <c r="G147" s="7">
        <f t="shared" si="2"/>
        <v>0</v>
      </c>
    </row>
    <row r="148" spans="1:7" x14ac:dyDescent="0.2">
      <c r="A148" s="4">
        <v>143</v>
      </c>
      <c r="B148" s="97"/>
      <c r="C148" s="3"/>
      <c r="D148" s="81" t="str">
        <f>IFERROR(VLOOKUP(C148, 'Daily Sales Summary Report'!$B$6:$C$47, 2, FALSE),"")</f>
        <v/>
      </c>
      <c r="E148" s="2"/>
      <c r="F148" s="8"/>
      <c r="G148" s="7">
        <f t="shared" si="2"/>
        <v>0</v>
      </c>
    </row>
    <row r="149" spans="1:7" x14ac:dyDescent="0.2">
      <c r="A149" s="4">
        <v>144</v>
      </c>
      <c r="B149" s="97"/>
      <c r="C149" s="3"/>
      <c r="D149" s="81" t="str">
        <f>IFERROR(VLOOKUP(C149, 'Daily Sales Summary Report'!$B$6:$C$47, 2, FALSE),"")</f>
        <v/>
      </c>
      <c r="E149" s="2"/>
      <c r="F149" s="8"/>
      <c r="G149" s="7">
        <f t="shared" si="2"/>
        <v>0</v>
      </c>
    </row>
    <row r="150" spans="1:7" x14ac:dyDescent="0.2">
      <c r="A150" s="4">
        <v>145</v>
      </c>
      <c r="B150" s="97"/>
      <c r="C150" s="3"/>
      <c r="D150" s="81" t="str">
        <f>IFERROR(VLOOKUP(C150, 'Daily Sales Summary Report'!$B$6:$C$47, 2, FALSE),"")</f>
        <v/>
      </c>
      <c r="E150" s="2"/>
      <c r="F150" s="8"/>
      <c r="G150" s="7">
        <f t="shared" si="2"/>
        <v>0</v>
      </c>
    </row>
    <row r="151" spans="1:7" x14ac:dyDescent="0.2">
      <c r="A151" s="4">
        <v>146</v>
      </c>
      <c r="B151" s="97"/>
      <c r="C151" s="3"/>
      <c r="D151" s="81" t="str">
        <f>IFERROR(VLOOKUP(C151, 'Daily Sales Summary Report'!$B$6:$C$47, 2, FALSE),"")</f>
        <v/>
      </c>
      <c r="E151" s="2"/>
      <c r="F151" s="8"/>
      <c r="G151" s="7">
        <f t="shared" si="2"/>
        <v>0</v>
      </c>
    </row>
    <row r="152" spans="1:7" x14ac:dyDescent="0.2">
      <c r="A152" s="4">
        <v>147</v>
      </c>
      <c r="B152" s="97"/>
      <c r="C152" s="3"/>
      <c r="D152" s="81" t="str">
        <f>IFERROR(VLOOKUP(C152, 'Daily Sales Summary Report'!$B$6:$C$47, 2, FALSE),"")</f>
        <v/>
      </c>
      <c r="E152" s="2"/>
      <c r="F152" s="8"/>
      <c r="G152" s="7">
        <f t="shared" si="2"/>
        <v>0</v>
      </c>
    </row>
    <row r="153" spans="1:7" x14ac:dyDescent="0.2">
      <c r="A153" s="4">
        <v>148</v>
      </c>
      <c r="B153" s="97"/>
      <c r="C153" s="3"/>
      <c r="D153" s="81" t="str">
        <f>IFERROR(VLOOKUP(C153, 'Daily Sales Summary Report'!$B$6:$C$47, 2, FALSE),"")</f>
        <v/>
      </c>
      <c r="E153" s="2"/>
      <c r="F153" s="8"/>
      <c r="G153" s="7">
        <f t="shared" si="2"/>
        <v>0</v>
      </c>
    </row>
    <row r="154" spans="1:7" x14ac:dyDescent="0.2">
      <c r="A154" s="4">
        <v>149</v>
      </c>
      <c r="B154" s="97"/>
      <c r="C154" s="3"/>
      <c r="D154" s="81" t="str">
        <f>IFERROR(VLOOKUP(C154, 'Daily Sales Summary Report'!$B$6:$C$47, 2, FALSE),"")</f>
        <v/>
      </c>
      <c r="E154" s="2"/>
      <c r="F154" s="8"/>
      <c r="G154" s="7">
        <f t="shared" si="2"/>
        <v>0</v>
      </c>
    </row>
    <row r="155" spans="1:7" x14ac:dyDescent="0.2">
      <c r="A155" s="4">
        <v>150</v>
      </c>
      <c r="B155" s="97"/>
      <c r="C155" s="3"/>
      <c r="D155" s="81" t="str">
        <f>IFERROR(VLOOKUP(C155, 'Daily Sales Summary Report'!$B$6:$C$47, 2, FALSE),"")</f>
        <v/>
      </c>
      <c r="E155" s="2"/>
      <c r="F155" s="8"/>
      <c r="G155" s="7">
        <f t="shared" si="2"/>
        <v>0</v>
      </c>
    </row>
    <row r="156" spans="1:7" x14ac:dyDescent="0.2">
      <c r="A156" s="4">
        <v>151</v>
      </c>
      <c r="B156" s="97"/>
      <c r="C156" s="3"/>
      <c r="D156" s="81" t="str">
        <f>IFERROR(VLOOKUP(C156, 'Daily Sales Summary Report'!$B$6:$C$47, 2, FALSE),"")</f>
        <v/>
      </c>
      <c r="E156" s="2"/>
      <c r="F156" s="8"/>
      <c r="G156" s="7">
        <f t="shared" si="2"/>
        <v>0</v>
      </c>
    </row>
    <row r="157" spans="1:7" x14ac:dyDescent="0.2">
      <c r="A157" s="4">
        <v>152</v>
      </c>
      <c r="B157" s="97"/>
      <c r="C157" s="3"/>
      <c r="D157" s="81" t="str">
        <f>IFERROR(VLOOKUP(C157, 'Daily Sales Summary Report'!$B$6:$C$47, 2, FALSE),"")</f>
        <v/>
      </c>
      <c r="E157" s="2"/>
      <c r="F157" s="8"/>
      <c r="G157" s="7">
        <f t="shared" si="2"/>
        <v>0</v>
      </c>
    </row>
    <row r="158" spans="1:7" x14ac:dyDescent="0.2">
      <c r="A158" s="4">
        <v>153</v>
      </c>
      <c r="B158" s="97"/>
      <c r="C158" s="3"/>
      <c r="D158" s="81" t="str">
        <f>IFERROR(VLOOKUP(C158, 'Daily Sales Summary Report'!$B$6:$C$47, 2, FALSE),"")</f>
        <v/>
      </c>
      <c r="E158" s="2"/>
      <c r="F158" s="8"/>
      <c r="G158" s="7">
        <f t="shared" si="2"/>
        <v>0</v>
      </c>
    </row>
    <row r="159" spans="1:7" x14ac:dyDescent="0.2">
      <c r="A159" s="4">
        <v>154</v>
      </c>
      <c r="B159" s="97"/>
      <c r="C159" s="3"/>
      <c r="D159" s="81" t="str">
        <f>IFERROR(VLOOKUP(C159, 'Daily Sales Summary Report'!$B$6:$C$47, 2, FALSE),"")</f>
        <v/>
      </c>
      <c r="E159" s="2"/>
      <c r="F159" s="8"/>
      <c r="G159" s="7">
        <f t="shared" si="2"/>
        <v>0</v>
      </c>
    </row>
    <row r="160" spans="1:7" x14ac:dyDescent="0.2">
      <c r="A160" s="4">
        <v>155</v>
      </c>
      <c r="B160" s="97"/>
      <c r="C160" s="3"/>
      <c r="D160" s="81" t="str">
        <f>IFERROR(VLOOKUP(C160, 'Daily Sales Summary Report'!$B$6:$C$47, 2, FALSE),"")</f>
        <v/>
      </c>
      <c r="E160" s="2"/>
      <c r="F160" s="8"/>
      <c r="G160" s="7">
        <f t="shared" si="2"/>
        <v>0</v>
      </c>
    </row>
    <row r="161" spans="1:7" x14ac:dyDescent="0.2">
      <c r="A161" s="4">
        <v>156</v>
      </c>
      <c r="B161" s="97"/>
      <c r="C161" s="3"/>
      <c r="D161" s="81" t="str">
        <f>IFERROR(VLOOKUP(C161, 'Daily Sales Summary Report'!$B$6:$C$47, 2, FALSE),"")</f>
        <v/>
      </c>
      <c r="E161" s="2"/>
      <c r="F161" s="8"/>
      <c r="G161" s="7">
        <f t="shared" si="2"/>
        <v>0</v>
      </c>
    </row>
    <row r="162" spans="1:7" x14ac:dyDescent="0.2">
      <c r="A162" s="4">
        <v>157</v>
      </c>
      <c r="B162" s="97"/>
      <c r="C162" s="3"/>
      <c r="D162" s="81" t="str">
        <f>IFERROR(VLOOKUP(C162, 'Daily Sales Summary Report'!$B$6:$C$47, 2, FALSE),"")</f>
        <v/>
      </c>
      <c r="E162" s="2"/>
      <c r="F162" s="8"/>
      <c r="G162" s="7">
        <f t="shared" si="2"/>
        <v>0</v>
      </c>
    </row>
    <row r="163" spans="1:7" x14ac:dyDescent="0.2">
      <c r="A163" s="4">
        <v>158</v>
      </c>
      <c r="B163" s="97"/>
      <c r="C163" s="3"/>
      <c r="D163" s="81" t="str">
        <f>IFERROR(VLOOKUP(C163, 'Daily Sales Summary Report'!$B$6:$C$47, 2, FALSE),"")</f>
        <v/>
      </c>
      <c r="E163" s="2"/>
      <c r="F163" s="8"/>
      <c r="G163" s="7">
        <f t="shared" si="2"/>
        <v>0</v>
      </c>
    </row>
    <row r="164" spans="1:7" x14ac:dyDescent="0.2">
      <c r="A164" s="4">
        <v>159</v>
      </c>
      <c r="B164" s="97"/>
      <c r="C164" s="3"/>
      <c r="D164" s="81" t="str">
        <f>IFERROR(VLOOKUP(C164, 'Daily Sales Summary Report'!$B$6:$C$47, 2, FALSE),"")</f>
        <v/>
      </c>
      <c r="E164" s="2"/>
      <c r="F164" s="8"/>
      <c r="G164" s="7">
        <f t="shared" si="2"/>
        <v>0</v>
      </c>
    </row>
    <row r="165" spans="1:7" x14ac:dyDescent="0.2">
      <c r="A165" s="4">
        <v>160</v>
      </c>
      <c r="B165" s="97"/>
      <c r="C165" s="3"/>
      <c r="D165" s="81" t="str">
        <f>IFERROR(VLOOKUP(C165, 'Daily Sales Summary Report'!$B$6:$C$47, 2, FALSE),"")</f>
        <v/>
      </c>
      <c r="E165" s="2"/>
      <c r="F165" s="8"/>
      <c r="G165" s="7">
        <f t="shared" si="2"/>
        <v>0</v>
      </c>
    </row>
    <row r="166" spans="1:7" x14ac:dyDescent="0.2">
      <c r="A166" s="4">
        <v>161</v>
      </c>
      <c r="B166" s="97"/>
      <c r="C166" s="3"/>
      <c r="D166" s="81" t="str">
        <f>IFERROR(VLOOKUP(C166, 'Daily Sales Summary Report'!$B$6:$C$47, 2, FALSE),"")</f>
        <v/>
      </c>
      <c r="E166" s="2"/>
      <c r="F166" s="8"/>
      <c r="G166" s="7">
        <f t="shared" si="2"/>
        <v>0</v>
      </c>
    </row>
    <row r="167" spans="1:7" x14ac:dyDescent="0.2">
      <c r="A167" s="4">
        <v>162</v>
      </c>
      <c r="B167" s="97"/>
      <c r="C167" s="3"/>
      <c r="D167" s="81" t="str">
        <f>IFERROR(VLOOKUP(C167, 'Daily Sales Summary Report'!$B$6:$C$47, 2, FALSE),"")</f>
        <v/>
      </c>
      <c r="E167" s="2"/>
      <c r="F167" s="8"/>
      <c r="G167" s="7">
        <f t="shared" si="2"/>
        <v>0</v>
      </c>
    </row>
    <row r="168" spans="1:7" x14ac:dyDescent="0.2">
      <c r="A168" s="4">
        <v>163</v>
      </c>
      <c r="B168" s="97"/>
      <c r="C168" s="3"/>
      <c r="D168" s="81" t="str">
        <f>IFERROR(VLOOKUP(C168, 'Daily Sales Summary Report'!$B$6:$C$47, 2, FALSE),"")</f>
        <v/>
      </c>
      <c r="E168" s="2"/>
      <c r="F168" s="8"/>
      <c r="G168" s="7">
        <f t="shared" si="2"/>
        <v>0</v>
      </c>
    </row>
    <row r="169" spans="1:7" x14ac:dyDescent="0.2">
      <c r="A169" s="4">
        <v>164</v>
      </c>
      <c r="B169" s="97"/>
      <c r="C169" s="3"/>
      <c r="D169" s="81" t="str">
        <f>IFERROR(VLOOKUP(C169, 'Daily Sales Summary Report'!$B$6:$C$47, 2, FALSE),"")</f>
        <v/>
      </c>
      <c r="E169" s="2"/>
      <c r="F169" s="8"/>
      <c r="G169" s="7">
        <f t="shared" si="2"/>
        <v>0</v>
      </c>
    </row>
    <row r="170" spans="1:7" x14ac:dyDescent="0.2">
      <c r="A170" s="4">
        <v>165</v>
      </c>
      <c r="B170" s="97"/>
      <c r="C170" s="3"/>
      <c r="D170" s="81" t="str">
        <f>IFERROR(VLOOKUP(C170, 'Daily Sales Summary Report'!$B$6:$C$47, 2, FALSE),"")</f>
        <v/>
      </c>
      <c r="E170" s="2"/>
      <c r="F170" s="8"/>
      <c r="G170" s="7">
        <f t="shared" si="2"/>
        <v>0</v>
      </c>
    </row>
    <row r="171" spans="1:7" x14ac:dyDescent="0.2">
      <c r="A171" s="4">
        <v>166</v>
      </c>
      <c r="B171" s="97"/>
      <c r="C171" s="3"/>
      <c r="D171" s="81" t="str">
        <f>IFERROR(VLOOKUP(C171, 'Daily Sales Summary Report'!$B$6:$C$47, 2, FALSE),"")</f>
        <v/>
      </c>
      <c r="E171" s="2"/>
      <c r="F171" s="8"/>
      <c r="G171" s="7">
        <f t="shared" si="2"/>
        <v>0</v>
      </c>
    </row>
    <row r="172" spans="1:7" x14ac:dyDescent="0.2">
      <c r="A172" s="4">
        <v>167</v>
      </c>
      <c r="B172" s="97"/>
      <c r="C172" s="3"/>
      <c r="D172" s="81" t="str">
        <f>IFERROR(VLOOKUP(C172, 'Daily Sales Summary Report'!$B$6:$C$47, 2, FALSE),"")</f>
        <v/>
      </c>
      <c r="E172" s="2"/>
      <c r="F172" s="8"/>
      <c r="G172" s="7">
        <f t="shared" si="2"/>
        <v>0</v>
      </c>
    </row>
    <row r="173" spans="1:7" x14ac:dyDescent="0.2">
      <c r="A173" s="4">
        <v>168</v>
      </c>
      <c r="B173" s="97"/>
      <c r="C173" s="3"/>
      <c r="D173" s="81" t="str">
        <f>IFERROR(VLOOKUP(C173, 'Daily Sales Summary Report'!$B$6:$C$47, 2, FALSE),"")</f>
        <v/>
      </c>
      <c r="E173" s="2"/>
      <c r="F173" s="8"/>
      <c r="G173" s="7">
        <f t="shared" si="2"/>
        <v>0</v>
      </c>
    </row>
    <row r="174" spans="1:7" x14ac:dyDescent="0.2">
      <c r="A174" s="4">
        <v>169</v>
      </c>
      <c r="B174" s="97"/>
      <c r="C174" s="3"/>
      <c r="D174" s="81" t="str">
        <f>IFERROR(VLOOKUP(C174, 'Daily Sales Summary Report'!$B$6:$C$47, 2, FALSE),"")</f>
        <v/>
      </c>
      <c r="E174" s="2"/>
      <c r="F174" s="8"/>
      <c r="G174" s="7">
        <f t="shared" si="2"/>
        <v>0</v>
      </c>
    </row>
    <row r="175" spans="1:7" x14ac:dyDescent="0.2">
      <c r="A175" s="4">
        <v>170</v>
      </c>
      <c r="B175" s="97"/>
      <c r="C175" s="3"/>
      <c r="D175" s="81" t="str">
        <f>IFERROR(VLOOKUP(C175, 'Daily Sales Summary Report'!$B$6:$C$47, 2, FALSE),"")</f>
        <v/>
      </c>
      <c r="E175" s="2"/>
      <c r="F175" s="8"/>
      <c r="G175" s="7">
        <f t="shared" si="2"/>
        <v>0</v>
      </c>
    </row>
    <row r="176" spans="1:7" x14ac:dyDescent="0.2">
      <c r="A176" s="4">
        <v>171</v>
      </c>
      <c r="B176" s="97"/>
      <c r="C176" s="3"/>
      <c r="D176" s="81" t="str">
        <f>IFERROR(VLOOKUP(C176, 'Daily Sales Summary Report'!$B$6:$C$47, 2, FALSE),"")</f>
        <v/>
      </c>
      <c r="E176" s="2"/>
      <c r="F176" s="8"/>
      <c r="G176" s="7">
        <f t="shared" si="2"/>
        <v>0</v>
      </c>
    </row>
    <row r="177" spans="1:7" x14ac:dyDescent="0.2">
      <c r="A177" s="4">
        <v>172</v>
      </c>
      <c r="B177" s="97"/>
      <c r="C177" s="3"/>
      <c r="D177" s="81" t="str">
        <f>IFERROR(VLOOKUP(C177, 'Daily Sales Summary Report'!$B$6:$C$47, 2, FALSE),"")</f>
        <v/>
      </c>
      <c r="E177" s="2"/>
      <c r="F177" s="8"/>
      <c r="G177" s="7">
        <f t="shared" si="2"/>
        <v>0</v>
      </c>
    </row>
    <row r="178" spans="1:7" x14ac:dyDescent="0.2">
      <c r="A178" s="4">
        <v>173</v>
      </c>
      <c r="B178" s="97"/>
      <c r="C178" s="3"/>
      <c r="D178" s="81" t="str">
        <f>IFERROR(VLOOKUP(C178, 'Daily Sales Summary Report'!$B$6:$C$47, 2, FALSE),"")</f>
        <v/>
      </c>
      <c r="E178" s="2"/>
      <c r="F178" s="8"/>
      <c r="G178" s="7">
        <f t="shared" si="2"/>
        <v>0</v>
      </c>
    </row>
    <row r="179" spans="1:7" x14ac:dyDescent="0.2">
      <c r="A179" s="4">
        <v>174</v>
      </c>
      <c r="B179" s="97"/>
      <c r="C179" s="3"/>
      <c r="D179" s="81" t="str">
        <f>IFERROR(VLOOKUP(C179, 'Daily Sales Summary Report'!$B$6:$C$47, 2, FALSE),"")</f>
        <v/>
      </c>
      <c r="E179" s="2"/>
      <c r="F179" s="8"/>
      <c r="G179" s="7">
        <f t="shared" si="2"/>
        <v>0</v>
      </c>
    </row>
    <row r="180" spans="1:7" x14ac:dyDescent="0.2">
      <c r="A180" s="4">
        <v>175</v>
      </c>
      <c r="B180" s="97"/>
      <c r="C180" s="3"/>
      <c r="D180" s="81" t="str">
        <f>IFERROR(VLOOKUP(C180, 'Daily Sales Summary Report'!$B$6:$C$47, 2, FALSE),"")</f>
        <v/>
      </c>
      <c r="E180" s="2"/>
      <c r="F180" s="8"/>
      <c r="G180" s="7">
        <f t="shared" si="2"/>
        <v>0</v>
      </c>
    </row>
    <row r="181" spans="1:7" x14ac:dyDescent="0.2">
      <c r="A181" s="4">
        <v>176</v>
      </c>
      <c r="B181" s="97"/>
      <c r="C181" s="3"/>
      <c r="D181" s="81" t="str">
        <f>IFERROR(VLOOKUP(C181, 'Daily Sales Summary Report'!$B$6:$C$47, 2, FALSE),"")</f>
        <v/>
      </c>
      <c r="E181" s="2"/>
      <c r="F181" s="8"/>
      <c r="G181" s="7">
        <f t="shared" si="2"/>
        <v>0</v>
      </c>
    </row>
    <row r="182" spans="1:7" x14ac:dyDescent="0.2">
      <c r="A182" s="4">
        <v>177</v>
      </c>
      <c r="B182" s="97"/>
      <c r="C182" s="3"/>
      <c r="D182" s="81" t="str">
        <f>IFERROR(VLOOKUP(C182, 'Daily Sales Summary Report'!$B$6:$C$47, 2, FALSE),"")</f>
        <v/>
      </c>
      <c r="E182" s="2"/>
      <c r="F182" s="8"/>
      <c r="G182" s="7">
        <f t="shared" si="2"/>
        <v>0</v>
      </c>
    </row>
    <row r="183" spans="1:7" x14ac:dyDescent="0.2">
      <c r="A183" s="4">
        <v>178</v>
      </c>
      <c r="B183" s="97"/>
      <c r="C183" s="3"/>
      <c r="D183" s="81" t="str">
        <f>IFERROR(VLOOKUP(C183, 'Daily Sales Summary Report'!$B$6:$C$47, 2, FALSE),"")</f>
        <v/>
      </c>
      <c r="E183" s="2"/>
      <c r="F183" s="8"/>
      <c r="G183" s="7">
        <f t="shared" si="2"/>
        <v>0</v>
      </c>
    </row>
    <row r="184" spans="1:7" x14ac:dyDescent="0.2">
      <c r="A184" s="4">
        <v>179</v>
      </c>
      <c r="B184" s="97"/>
      <c r="C184" s="3"/>
      <c r="D184" s="81" t="str">
        <f>IFERROR(VLOOKUP(C184, 'Daily Sales Summary Report'!$B$6:$C$47, 2, FALSE),"")</f>
        <v/>
      </c>
      <c r="E184" s="2"/>
      <c r="F184" s="8"/>
      <c r="G184" s="7">
        <f t="shared" si="2"/>
        <v>0</v>
      </c>
    </row>
    <row r="185" spans="1:7" x14ac:dyDescent="0.2">
      <c r="A185" s="4">
        <v>180</v>
      </c>
      <c r="B185" s="97"/>
      <c r="C185" s="3"/>
      <c r="D185" s="81" t="str">
        <f>IFERROR(VLOOKUP(C185, 'Daily Sales Summary Report'!$B$6:$C$47, 2, FALSE),"")</f>
        <v/>
      </c>
      <c r="E185" s="2"/>
      <c r="F185" s="8"/>
      <c r="G185" s="7">
        <f t="shared" si="2"/>
        <v>0</v>
      </c>
    </row>
    <row r="186" spans="1:7" x14ac:dyDescent="0.2">
      <c r="A186" s="4">
        <v>181</v>
      </c>
      <c r="B186" s="97"/>
      <c r="C186" s="3"/>
      <c r="D186" s="81" t="str">
        <f>IFERROR(VLOOKUP(C186, 'Daily Sales Summary Report'!$B$6:$C$47, 2, FALSE),"")</f>
        <v/>
      </c>
      <c r="E186" s="2"/>
      <c r="F186" s="8"/>
      <c r="G186" s="7">
        <f t="shared" si="2"/>
        <v>0</v>
      </c>
    </row>
    <row r="187" spans="1:7" x14ac:dyDescent="0.2">
      <c r="A187" s="4">
        <v>182</v>
      </c>
      <c r="B187" s="97"/>
      <c r="C187" s="3"/>
      <c r="D187" s="81" t="str">
        <f>IFERROR(VLOOKUP(C187, 'Daily Sales Summary Report'!$B$6:$C$47, 2, FALSE),"")</f>
        <v/>
      </c>
      <c r="E187" s="2"/>
      <c r="F187" s="8"/>
      <c r="G187" s="7">
        <f t="shared" si="2"/>
        <v>0</v>
      </c>
    </row>
    <row r="188" spans="1:7" x14ac:dyDescent="0.2">
      <c r="A188" s="4">
        <v>183</v>
      </c>
      <c r="B188" s="97"/>
      <c r="C188" s="3"/>
      <c r="D188" s="81" t="str">
        <f>IFERROR(VLOOKUP(C188, 'Daily Sales Summary Report'!$B$6:$C$47, 2, FALSE),"")</f>
        <v/>
      </c>
      <c r="E188" s="2"/>
      <c r="F188" s="8"/>
      <c r="G188" s="7">
        <f t="shared" si="2"/>
        <v>0</v>
      </c>
    </row>
    <row r="189" spans="1:7" x14ac:dyDescent="0.2">
      <c r="A189" s="4">
        <v>184</v>
      </c>
      <c r="B189" s="97"/>
      <c r="C189" s="3"/>
      <c r="D189" s="81" t="str">
        <f>IFERROR(VLOOKUP(C189, 'Daily Sales Summary Report'!$B$6:$C$47, 2, FALSE),"")</f>
        <v/>
      </c>
      <c r="E189" s="2"/>
      <c r="F189" s="8"/>
      <c r="G189" s="7">
        <f t="shared" si="2"/>
        <v>0</v>
      </c>
    </row>
    <row r="190" spans="1:7" x14ac:dyDescent="0.2">
      <c r="A190" s="4">
        <v>185</v>
      </c>
      <c r="B190" s="97"/>
      <c r="C190" s="3"/>
      <c r="D190" s="81" t="str">
        <f>IFERROR(VLOOKUP(C190, 'Daily Sales Summary Report'!$B$6:$C$47, 2, FALSE),"")</f>
        <v/>
      </c>
      <c r="E190" s="2"/>
      <c r="F190" s="8"/>
      <c r="G190" s="7">
        <f t="shared" si="2"/>
        <v>0</v>
      </c>
    </row>
    <row r="191" spans="1:7" x14ac:dyDescent="0.2">
      <c r="A191" s="4">
        <v>186</v>
      </c>
      <c r="B191" s="97"/>
      <c r="C191" s="3"/>
      <c r="D191" s="81" t="str">
        <f>IFERROR(VLOOKUP(C191, 'Daily Sales Summary Report'!$B$6:$C$47, 2, FALSE),"")</f>
        <v/>
      </c>
      <c r="E191" s="2"/>
      <c r="F191" s="8"/>
      <c r="G191" s="7">
        <f t="shared" si="2"/>
        <v>0</v>
      </c>
    </row>
    <row r="192" spans="1:7" x14ac:dyDescent="0.2">
      <c r="A192" s="4">
        <v>187</v>
      </c>
      <c r="B192" s="97"/>
      <c r="C192" s="3"/>
      <c r="D192" s="81" t="str">
        <f>IFERROR(VLOOKUP(C192, 'Daily Sales Summary Report'!$B$6:$C$47, 2, FALSE),"")</f>
        <v/>
      </c>
      <c r="E192" s="2"/>
      <c r="F192" s="8"/>
      <c r="G192" s="7">
        <f t="shared" si="2"/>
        <v>0</v>
      </c>
    </row>
    <row r="193" spans="1:7" x14ac:dyDescent="0.2">
      <c r="A193" s="4">
        <v>188</v>
      </c>
      <c r="B193" s="97"/>
      <c r="C193" s="3"/>
      <c r="D193" s="81" t="str">
        <f>IFERROR(VLOOKUP(C193, 'Daily Sales Summary Report'!$B$6:$C$47, 2, FALSE),"")</f>
        <v/>
      </c>
      <c r="E193" s="2"/>
      <c r="F193" s="8"/>
      <c r="G193" s="7">
        <f t="shared" si="2"/>
        <v>0</v>
      </c>
    </row>
    <row r="194" spans="1:7" x14ac:dyDescent="0.2">
      <c r="A194" s="4">
        <v>189</v>
      </c>
      <c r="B194" s="97"/>
      <c r="C194" s="3"/>
      <c r="D194" s="81" t="str">
        <f>IFERROR(VLOOKUP(C194, 'Daily Sales Summary Report'!$B$6:$C$47, 2, FALSE),"")</f>
        <v/>
      </c>
      <c r="E194" s="2"/>
      <c r="F194" s="8"/>
      <c r="G194" s="7">
        <f t="shared" si="2"/>
        <v>0</v>
      </c>
    </row>
    <row r="195" spans="1:7" x14ac:dyDescent="0.2">
      <c r="A195" s="4">
        <v>190</v>
      </c>
      <c r="B195" s="97"/>
      <c r="C195" s="3"/>
      <c r="D195" s="81" t="str">
        <f>IFERROR(VLOOKUP(C195, 'Daily Sales Summary Report'!$B$6:$C$47, 2, FALSE),"")</f>
        <v/>
      </c>
      <c r="E195" s="2"/>
      <c r="F195" s="8"/>
      <c r="G195" s="7">
        <f t="shared" si="2"/>
        <v>0</v>
      </c>
    </row>
    <row r="196" spans="1:7" x14ac:dyDescent="0.2">
      <c r="A196" s="4">
        <v>191</v>
      </c>
      <c r="B196" s="97"/>
      <c r="C196" s="3"/>
      <c r="D196" s="81" t="str">
        <f>IFERROR(VLOOKUP(C196, 'Daily Sales Summary Report'!$B$6:$C$47, 2, FALSE),"")</f>
        <v/>
      </c>
      <c r="E196" s="2"/>
      <c r="F196" s="8"/>
      <c r="G196" s="7">
        <f t="shared" si="2"/>
        <v>0</v>
      </c>
    </row>
    <row r="197" spans="1:7" x14ac:dyDescent="0.2">
      <c r="A197" s="4">
        <v>192</v>
      </c>
      <c r="B197" s="97"/>
      <c r="C197" s="3"/>
      <c r="D197" s="81" t="str">
        <f>IFERROR(VLOOKUP(C197, 'Daily Sales Summary Report'!$B$6:$C$47, 2, FALSE),"")</f>
        <v/>
      </c>
      <c r="E197" s="2"/>
      <c r="F197" s="8"/>
      <c r="G197" s="7">
        <f t="shared" si="2"/>
        <v>0</v>
      </c>
    </row>
    <row r="198" spans="1:7" x14ac:dyDescent="0.2">
      <c r="A198" s="4">
        <v>193</v>
      </c>
      <c r="B198" s="97"/>
      <c r="C198" s="3"/>
      <c r="D198" s="81" t="str">
        <f>IFERROR(VLOOKUP(C198, 'Daily Sales Summary Report'!$B$6:$C$47, 2, FALSE),"")</f>
        <v/>
      </c>
      <c r="E198" s="2"/>
      <c r="F198" s="8"/>
      <c r="G198" s="7">
        <f t="shared" si="2"/>
        <v>0</v>
      </c>
    </row>
    <row r="199" spans="1:7" x14ac:dyDescent="0.2">
      <c r="A199" s="4">
        <v>194</v>
      </c>
      <c r="B199" s="97"/>
      <c r="C199" s="3"/>
      <c r="D199" s="81" t="str">
        <f>IFERROR(VLOOKUP(C199, 'Daily Sales Summary Report'!$B$6:$C$47, 2, FALSE),"")</f>
        <v/>
      </c>
      <c r="E199" s="2"/>
      <c r="F199" s="8"/>
      <c r="G199" s="7">
        <f t="shared" ref="G199:G204" si="3">IFERROR(E199*D199-F199,0)</f>
        <v>0</v>
      </c>
    </row>
    <row r="200" spans="1:7" x14ac:dyDescent="0.2">
      <c r="A200" s="4">
        <v>195</v>
      </c>
      <c r="B200" s="97"/>
      <c r="C200" s="3"/>
      <c r="D200" s="81" t="str">
        <f>IFERROR(VLOOKUP(C200, 'Daily Sales Summary Report'!$B$6:$C$47, 2, FALSE),"")</f>
        <v/>
      </c>
      <c r="E200" s="2"/>
      <c r="F200" s="8"/>
      <c r="G200" s="7">
        <f t="shared" si="3"/>
        <v>0</v>
      </c>
    </row>
    <row r="201" spans="1:7" x14ac:dyDescent="0.2">
      <c r="A201" s="4">
        <v>196</v>
      </c>
      <c r="B201" s="97"/>
      <c r="C201" s="3"/>
      <c r="D201" s="81" t="str">
        <f>IFERROR(VLOOKUP(C201, 'Daily Sales Summary Report'!$B$6:$C$47, 2, FALSE),"")</f>
        <v/>
      </c>
      <c r="E201" s="2"/>
      <c r="F201" s="8"/>
      <c r="G201" s="7">
        <f t="shared" si="3"/>
        <v>0</v>
      </c>
    </row>
    <row r="202" spans="1:7" x14ac:dyDescent="0.2">
      <c r="A202" s="4">
        <v>197</v>
      </c>
      <c r="B202" s="97"/>
      <c r="C202" s="3"/>
      <c r="D202" s="81" t="str">
        <f>IFERROR(VLOOKUP(C202, 'Daily Sales Summary Report'!$B$6:$C$47, 2, FALSE),"")</f>
        <v/>
      </c>
      <c r="E202" s="2"/>
      <c r="F202" s="8"/>
      <c r="G202" s="7">
        <f t="shared" si="3"/>
        <v>0</v>
      </c>
    </row>
    <row r="203" spans="1:7" x14ac:dyDescent="0.2">
      <c r="A203" s="4">
        <v>198</v>
      </c>
      <c r="B203" s="97"/>
      <c r="C203" s="3"/>
      <c r="D203" s="81" t="str">
        <f>IFERROR(VLOOKUP(C203, 'Daily Sales Summary Report'!$B$6:$C$47, 2, FALSE),"")</f>
        <v/>
      </c>
      <c r="E203" s="2"/>
      <c r="F203" s="8"/>
      <c r="G203" s="7">
        <f t="shared" si="3"/>
        <v>0</v>
      </c>
    </row>
    <row r="204" spans="1:7" x14ac:dyDescent="0.2">
      <c r="A204" s="4">
        <v>199</v>
      </c>
      <c r="B204" s="97"/>
      <c r="C204" s="3"/>
      <c r="D204" s="81" t="str">
        <f>IFERROR(VLOOKUP(C204, 'Daily Sales Summary Report'!$B$6:$C$47, 2, FALSE),"")</f>
        <v/>
      </c>
      <c r="E204" s="2"/>
      <c r="F204" s="8"/>
      <c r="G204" s="7">
        <f t="shared" si="3"/>
        <v>0</v>
      </c>
    </row>
    <row r="205" spans="1:7" s="18" customFormat="1" x14ac:dyDescent="0.2">
      <c r="A205" s="16" t="s">
        <v>6</v>
      </c>
      <c r="B205" s="98"/>
      <c r="C205" s="17"/>
      <c r="D205" s="22"/>
      <c r="E205" s="17"/>
      <c r="F205" s="22">
        <f>SUM(F6:F204)</f>
        <v>0</v>
      </c>
      <c r="G205" s="22">
        <f>SUM(G6:G204)</f>
        <v>0</v>
      </c>
    </row>
  </sheetData>
  <sheetProtection algorithmName="SHA-512" hashValue="q1v9HpEztlmlC0qk+B5dvXAQLSB0Gb7h7dw2RjYCmUa8/OtYI+iXXusAXtsnvwyE9oteDLa7DBjOZgecJZFmgA==" saltValue="cnCdf3oQj8SrHdr2TYb+Mw==" spinCount="100000" sheet="1" objects="1" scenarios="1"/>
  <mergeCells count="2">
    <mergeCell ref="A4:C4"/>
    <mergeCell ref="A1:G1"/>
  </mergeCells>
  <phoneticPr fontId="19" type="noConversion"/>
  <dataValidations count="2">
    <dataValidation type="list" allowBlank="1" showInputMessage="1" showErrorMessage="1" sqref="C6:C204" xr:uid="{BF3FC726-F25B-4A89-B8DD-0CC200DF74EC}">
      <formula1>_Namelist1</formula1>
    </dataValidation>
    <dataValidation type="whole" operator="greaterThan" allowBlank="1" showInputMessage="1" showErrorMessage="1" sqref="F6:F204" xr:uid="{3762575F-DAA6-4C0E-9887-529D1B175F5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873C-7DEE-4DE5-A043-226495045F99}">
  <sheetPr>
    <tabColor rgb="FFFFFF00"/>
  </sheetPr>
  <dimension ref="A1:L59"/>
  <sheetViews>
    <sheetView zoomScale="120" zoomScaleNormal="120" workbookViewId="0">
      <selection activeCell="C14" sqref="C14"/>
    </sheetView>
  </sheetViews>
  <sheetFormatPr baseColWidth="10" defaultColWidth="8.83203125" defaultRowHeight="15" x14ac:dyDescent="0.2"/>
  <cols>
    <col min="1" max="1" width="4.1640625" style="28" bestFit="1" customWidth="1"/>
    <col min="2" max="2" width="44.33203125" style="28" bestFit="1" customWidth="1"/>
    <col min="3" max="3" width="18.6640625" style="28" customWidth="1"/>
    <col min="4" max="4" width="21.5" style="28" bestFit="1" customWidth="1"/>
    <col min="5" max="5" width="16.1640625" style="28" bestFit="1" customWidth="1"/>
    <col min="6" max="6" width="16.1640625" style="28" customWidth="1"/>
    <col min="7" max="7" width="18.5" style="28" customWidth="1"/>
    <col min="8" max="8" width="14.5" style="28" customWidth="1"/>
    <col min="9" max="9" width="20.5" style="28" customWidth="1"/>
    <col min="10" max="10" width="14.5" style="84" customWidth="1"/>
    <col min="11" max="11" width="20.5" style="28" bestFit="1" customWidth="1"/>
    <col min="12" max="12" width="27.83203125" style="28" customWidth="1"/>
    <col min="13" max="16384" width="8.83203125" style="28"/>
  </cols>
  <sheetData>
    <row r="1" spans="1:12" s="27" customFormat="1" ht="27" x14ac:dyDescent="0.35">
      <c r="A1" s="26"/>
      <c r="B1" s="9" t="s">
        <v>48</v>
      </c>
      <c r="C1" s="26"/>
      <c r="D1" s="26"/>
      <c r="E1" s="26"/>
      <c r="F1" s="26"/>
      <c r="G1" s="26"/>
      <c r="H1" s="26"/>
      <c r="I1" s="26"/>
      <c r="J1" s="83"/>
      <c r="K1" s="26"/>
      <c r="L1" s="26"/>
    </row>
    <row r="2" spans="1:12" ht="8.25" customHeight="1" x14ac:dyDescent="0.2"/>
    <row r="3" spans="1:12" s="32" customFormat="1" ht="19" x14ac:dyDescent="0.25">
      <c r="A3" s="29"/>
      <c r="B3" s="29" t="s">
        <v>47</v>
      </c>
      <c r="C3" s="29"/>
      <c r="D3" s="29"/>
      <c r="E3" s="29"/>
      <c r="F3" s="5"/>
      <c r="G3" s="29"/>
      <c r="H3" s="29"/>
      <c r="I3" s="30"/>
      <c r="J3" s="85" t="s">
        <v>8</v>
      </c>
      <c r="K3" s="31">
        <v>45750</v>
      </c>
      <c r="L3" s="29"/>
    </row>
    <row r="4" spans="1:12" ht="16" thickBot="1" x14ac:dyDescent="0.25"/>
    <row r="5" spans="1:12" s="39" customFormat="1" ht="65" thickBot="1" x14ac:dyDescent="0.25">
      <c r="A5" s="33" t="s">
        <v>9</v>
      </c>
      <c r="B5" s="33" t="s">
        <v>10</v>
      </c>
      <c r="C5" s="34" t="s">
        <v>11</v>
      </c>
      <c r="D5" s="34" t="s">
        <v>12</v>
      </c>
      <c r="E5" s="35" t="s">
        <v>49</v>
      </c>
      <c r="F5" s="34" t="s">
        <v>13</v>
      </c>
      <c r="G5" s="35" t="s">
        <v>14</v>
      </c>
      <c r="H5" s="36" t="s">
        <v>15</v>
      </c>
      <c r="I5" s="34" t="s">
        <v>16</v>
      </c>
      <c r="J5" s="86" t="s">
        <v>17</v>
      </c>
      <c r="K5" s="37" t="s">
        <v>18</v>
      </c>
      <c r="L5" s="38" t="s">
        <v>19</v>
      </c>
    </row>
    <row r="6" spans="1:12" s="46" customFormat="1" ht="16" x14ac:dyDescent="0.2">
      <c r="A6" s="73">
        <v>1</v>
      </c>
      <c r="B6" s="74" t="s">
        <v>27</v>
      </c>
      <c r="C6" s="75">
        <v>1</v>
      </c>
      <c r="D6" s="41">
        <v>100</v>
      </c>
      <c r="E6" s="42">
        <v>20</v>
      </c>
      <c r="F6" s="41">
        <f>E6+D6</f>
        <v>120</v>
      </c>
      <c r="G6" s="42">
        <v>40</v>
      </c>
      <c r="H6" s="43" cm="1">
        <f t="array" ref="H6">SUMPRODUCT((TRIM('Detailed Sales Report'!C$6:C$204) = B6) * 'Detailed Sales Report'!E$6:E$204)</f>
        <v>0</v>
      </c>
      <c r="I6" s="82">
        <f>SUMIF('Detailed Sales Report'!$C$18:$C$38,'Daily Sales Summary Report'!B6,'Detailed Sales Report'!$F$18:$F$38)</f>
        <v>0</v>
      </c>
      <c r="J6" s="87">
        <f>SUMIF('Detailed Sales Report'!$C$18:$C$38,'Daily Sales Summary Report'!B6,'Detailed Sales Report'!$G$18:$G$38)</f>
        <v>0</v>
      </c>
      <c r="K6" s="41">
        <f>F6-H6</f>
        <v>120</v>
      </c>
      <c r="L6" s="45"/>
    </row>
    <row r="7" spans="1:12" s="46" customFormat="1" ht="16" x14ac:dyDescent="0.2">
      <c r="A7" s="76">
        <v>2</v>
      </c>
      <c r="B7" s="74" t="s">
        <v>28</v>
      </c>
      <c r="C7" s="75">
        <v>1</v>
      </c>
      <c r="D7" s="41">
        <v>100</v>
      </c>
      <c r="E7" s="42">
        <v>20</v>
      </c>
      <c r="F7" s="48">
        <f t="shared" ref="F7:F46" si="0">E7+D7</f>
        <v>120</v>
      </c>
      <c r="G7" s="42">
        <v>40</v>
      </c>
      <c r="H7" s="43" cm="1">
        <f t="array" ref="H7">SUMPRODUCT((TRIM('Detailed Sales Report'!C$6:C$204) = B7) * 'Detailed Sales Report'!E$6:E$204)</f>
        <v>0</v>
      </c>
      <c r="I7" s="82">
        <f>SUMIF('Detailed Sales Report'!$C$18:$C$38,'Daily Sales Summary Report'!B7,'Detailed Sales Report'!$F$18:$F$38)</f>
        <v>0</v>
      </c>
      <c r="J7" s="87">
        <f>SUMIF('Detailed Sales Report'!$C$18:$C$38,'Daily Sales Summary Report'!B7,'Detailed Sales Report'!$G$18:$G$38)</f>
        <v>0</v>
      </c>
      <c r="K7" s="41">
        <f t="shared" ref="K7:K49" si="1">F7-H7</f>
        <v>120</v>
      </c>
      <c r="L7" s="49"/>
    </row>
    <row r="8" spans="1:12" s="46" customFormat="1" ht="16" x14ac:dyDescent="0.2">
      <c r="A8" s="73">
        <v>3</v>
      </c>
      <c r="B8" s="74" t="s">
        <v>29</v>
      </c>
      <c r="C8" s="75">
        <v>1</v>
      </c>
      <c r="D8" s="41">
        <v>100</v>
      </c>
      <c r="E8" s="42">
        <v>20</v>
      </c>
      <c r="F8" s="48">
        <f t="shared" si="0"/>
        <v>120</v>
      </c>
      <c r="G8" s="42">
        <v>40</v>
      </c>
      <c r="H8" s="43" cm="1">
        <f t="array" ref="H8">SUMPRODUCT((TRIM('Detailed Sales Report'!C$6:C$204) = B8) * 'Detailed Sales Report'!E$6:E$204)</f>
        <v>0</v>
      </c>
      <c r="I8" s="82">
        <f>SUMIF('Detailed Sales Report'!$C$18:$C$38,'Daily Sales Summary Report'!B8,'Detailed Sales Report'!$F$18:$F$38)</f>
        <v>0</v>
      </c>
      <c r="J8" s="87">
        <f>SUMIF('Detailed Sales Report'!$C$18:$C$38,'Daily Sales Summary Report'!B8,'Detailed Sales Report'!$G$18:$G$38)</f>
        <v>0</v>
      </c>
      <c r="K8" s="41">
        <f t="shared" si="1"/>
        <v>120</v>
      </c>
      <c r="L8" s="49"/>
    </row>
    <row r="9" spans="1:12" s="46" customFormat="1" ht="16" x14ac:dyDescent="0.2">
      <c r="A9" s="76">
        <v>4</v>
      </c>
      <c r="B9" s="74" t="s">
        <v>30</v>
      </c>
      <c r="C9" s="75">
        <v>1</v>
      </c>
      <c r="D9" s="41">
        <v>100</v>
      </c>
      <c r="E9" s="42">
        <v>20</v>
      </c>
      <c r="F9" s="48">
        <f t="shared" si="0"/>
        <v>120</v>
      </c>
      <c r="G9" s="42">
        <v>40</v>
      </c>
      <c r="H9" s="43" cm="1">
        <f t="array" ref="H9">SUMPRODUCT((TRIM('Detailed Sales Report'!C$6:C$204) = B9) * 'Detailed Sales Report'!E$6:E$204)</f>
        <v>0</v>
      </c>
      <c r="I9" s="82">
        <f>SUMIF('Detailed Sales Report'!$C$18:$C$38,'Daily Sales Summary Report'!B9,'Detailed Sales Report'!$F$18:$F$38)</f>
        <v>0</v>
      </c>
      <c r="J9" s="87">
        <f>SUMIF('Detailed Sales Report'!$C$18:$C$38,'Daily Sales Summary Report'!B9,'Detailed Sales Report'!$G$18:$G$38)</f>
        <v>0</v>
      </c>
      <c r="K9" s="41">
        <f t="shared" si="1"/>
        <v>120</v>
      </c>
      <c r="L9" s="49"/>
    </row>
    <row r="10" spans="1:12" s="46" customFormat="1" ht="16" x14ac:dyDescent="0.2">
      <c r="A10" s="73">
        <v>5</v>
      </c>
      <c r="B10" s="74" t="s">
        <v>31</v>
      </c>
      <c r="C10" s="75">
        <v>1</v>
      </c>
      <c r="D10" s="41">
        <v>100</v>
      </c>
      <c r="E10" s="42">
        <v>20</v>
      </c>
      <c r="F10" s="48">
        <f t="shared" si="0"/>
        <v>120</v>
      </c>
      <c r="G10" s="42">
        <v>40</v>
      </c>
      <c r="H10" s="43" cm="1">
        <f t="array" ref="H10">SUMPRODUCT((TRIM('Detailed Sales Report'!C$6:C$204) = B10) * 'Detailed Sales Report'!E$6:E$204)</f>
        <v>0</v>
      </c>
      <c r="I10" s="82">
        <f>SUMIF('Detailed Sales Report'!$C$18:$C$38,'Daily Sales Summary Report'!B10,'Detailed Sales Report'!$F$18:$F$38)</f>
        <v>0</v>
      </c>
      <c r="J10" s="87">
        <f>SUMIF('Detailed Sales Report'!$C$18:$C$38,'Daily Sales Summary Report'!B10,'Detailed Sales Report'!$G$18:$G$38)</f>
        <v>0</v>
      </c>
      <c r="K10" s="41">
        <f t="shared" si="1"/>
        <v>120</v>
      </c>
      <c r="L10" s="49"/>
    </row>
    <row r="11" spans="1:12" s="46" customFormat="1" ht="16" x14ac:dyDescent="0.2">
      <c r="A11" s="76">
        <v>6</v>
      </c>
      <c r="B11" s="74" t="s">
        <v>32</v>
      </c>
      <c r="C11" s="75">
        <v>1</v>
      </c>
      <c r="D11" s="41">
        <v>100</v>
      </c>
      <c r="E11" s="42">
        <v>20</v>
      </c>
      <c r="F11" s="53">
        <f t="shared" si="0"/>
        <v>120</v>
      </c>
      <c r="G11" s="42">
        <v>40</v>
      </c>
      <c r="H11" s="43" cm="1">
        <f t="array" ref="H11">SUMPRODUCT((TRIM('Detailed Sales Report'!C$6:C$204) = B11) * 'Detailed Sales Report'!E$6:E$204)</f>
        <v>0</v>
      </c>
      <c r="I11" s="82">
        <f>SUMIF('Detailed Sales Report'!$C$18:$C$38,'Daily Sales Summary Report'!B11,'Detailed Sales Report'!$F$18:$F$38)</f>
        <v>0</v>
      </c>
      <c r="J11" s="87">
        <f>SUMIF('Detailed Sales Report'!$C$18:$C$38,'Daily Sales Summary Report'!B11,'Detailed Sales Report'!$G$18:$G$38)</f>
        <v>0</v>
      </c>
      <c r="K11" s="44">
        <f t="shared" si="1"/>
        <v>120</v>
      </c>
      <c r="L11" s="70"/>
    </row>
    <row r="12" spans="1:12" s="46" customFormat="1" ht="16" x14ac:dyDescent="0.2">
      <c r="A12" s="73">
        <v>7</v>
      </c>
      <c r="B12" s="74" t="s">
        <v>33</v>
      </c>
      <c r="C12" s="75">
        <v>1</v>
      </c>
      <c r="D12" s="41">
        <v>100</v>
      </c>
      <c r="E12" s="42">
        <v>20</v>
      </c>
      <c r="F12" s="48">
        <f t="shared" si="0"/>
        <v>120</v>
      </c>
      <c r="G12" s="42">
        <v>40</v>
      </c>
      <c r="H12" s="43" cm="1">
        <f t="array" ref="H12">SUMPRODUCT((TRIM('Detailed Sales Report'!C$6:C$204) = B12) * 'Detailed Sales Report'!E$6:E$204)</f>
        <v>0</v>
      </c>
      <c r="I12" s="82">
        <f>SUMIF('Detailed Sales Report'!$C$18:$C$38,'Daily Sales Summary Report'!B12,'Detailed Sales Report'!$F$18:$F$38)</f>
        <v>0</v>
      </c>
      <c r="J12" s="87">
        <f>SUMIF('Detailed Sales Report'!$C$18:$C$38,'Daily Sales Summary Report'!B12,'Detailed Sales Report'!$G$18:$G$38)</f>
        <v>0</v>
      </c>
      <c r="K12" s="41">
        <f t="shared" si="1"/>
        <v>120</v>
      </c>
      <c r="L12" s="49"/>
    </row>
    <row r="13" spans="1:12" s="46" customFormat="1" ht="16" x14ac:dyDescent="0.2">
      <c r="A13" s="73">
        <v>9</v>
      </c>
      <c r="B13" s="74" t="s">
        <v>34</v>
      </c>
      <c r="C13" s="75">
        <v>1</v>
      </c>
      <c r="D13" s="41">
        <v>100</v>
      </c>
      <c r="E13" s="42">
        <v>20</v>
      </c>
      <c r="F13" s="48">
        <f t="shared" si="0"/>
        <v>120</v>
      </c>
      <c r="G13" s="42">
        <v>40</v>
      </c>
      <c r="H13" s="43" cm="1">
        <f t="array" ref="H13">SUMPRODUCT((TRIM('Detailed Sales Report'!C$6:C$204) = B13) * 'Detailed Sales Report'!E$6:E$204)</f>
        <v>0</v>
      </c>
      <c r="I13" s="82">
        <f>SUMIF('Detailed Sales Report'!$C$18:$C$38,'Daily Sales Summary Report'!B13,'Detailed Sales Report'!$F$18:$F$38)</f>
        <v>0</v>
      </c>
      <c r="J13" s="87">
        <f>SUMIF('Detailed Sales Report'!$C$18:$C$38,'Daily Sales Summary Report'!B13,'Detailed Sales Report'!$G$18:$G$38)</f>
        <v>0</v>
      </c>
      <c r="K13" s="41">
        <f t="shared" si="1"/>
        <v>120</v>
      </c>
      <c r="L13" s="49"/>
    </row>
    <row r="14" spans="1:12" s="46" customFormat="1" ht="16" x14ac:dyDescent="0.2">
      <c r="A14" s="76">
        <v>10</v>
      </c>
      <c r="B14" s="74" t="s">
        <v>35</v>
      </c>
      <c r="C14" s="75">
        <v>1</v>
      </c>
      <c r="D14" s="41">
        <v>100</v>
      </c>
      <c r="E14" s="42">
        <v>20</v>
      </c>
      <c r="F14" s="48">
        <f t="shared" si="0"/>
        <v>120</v>
      </c>
      <c r="G14" s="42">
        <v>40</v>
      </c>
      <c r="H14" s="43" cm="1">
        <f t="array" ref="H14">SUMPRODUCT((TRIM('Detailed Sales Report'!C$6:C$204) = B14) * 'Detailed Sales Report'!E$6:E$204)</f>
        <v>0</v>
      </c>
      <c r="I14" s="82">
        <f>SUMIF('Detailed Sales Report'!$C$18:$C$38,'Daily Sales Summary Report'!B14,'Detailed Sales Report'!$F$18:$F$38)</f>
        <v>0</v>
      </c>
      <c r="J14" s="87">
        <f>SUMIF('Detailed Sales Report'!$C$18:$C$38,'Daily Sales Summary Report'!B14,'Detailed Sales Report'!$G$18:$G$38)</f>
        <v>0</v>
      </c>
      <c r="K14" s="41">
        <f t="shared" si="1"/>
        <v>120</v>
      </c>
      <c r="L14" s="49"/>
    </row>
    <row r="15" spans="1:12" s="46" customFormat="1" ht="16" x14ac:dyDescent="0.2">
      <c r="A15" s="73">
        <v>11</v>
      </c>
      <c r="B15" s="74" t="s">
        <v>36</v>
      </c>
      <c r="C15" s="75">
        <v>1</v>
      </c>
      <c r="D15" s="41">
        <v>100</v>
      </c>
      <c r="E15" s="42">
        <v>20</v>
      </c>
      <c r="F15" s="48">
        <f t="shared" si="0"/>
        <v>120</v>
      </c>
      <c r="G15" s="42">
        <v>40</v>
      </c>
      <c r="H15" s="43" cm="1">
        <f t="array" ref="H15">SUMPRODUCT((TRIM('Detailed Sales Report'!C$6:C$204) = B15) * 'Detailed Sales Report'!E$6:E$204)</f>
        <v>0</v>
      </c>
      <c r="I15" s="82">
        <f>SUMIF('Detailed Sales Report'!$C$18:$C$38,'Daily Sales Summary Report'!B15,'Detailed Sales Report'!$F$18:$F$38)</f>
        <v>0</v>
      </c>
      <c r="J15" s="87">
        <f>SUMIF('Detailed Sales Report'!$C$18:$C$38,'Daily Sales Summary Report'!B15,'Detailed Sales Report'!$G$18:$G$38)</f>
        <v>0</v>
      </c>
      <c r="K15" s="41">
        <f t="shared" si="1"/>
        <v>120</v>
      </c>
      <c r="L15" s="49"/>
    </row>
    <row r="16" spans="1:12" s="46" customFormat="1" ht="16" x14ac:dyDescent="0.2">
      <c r="A16" s="76">
        <v>12</v>
      </c>
      <c r="B16" s="74" t="s">
        <v>37</v>
      </c>
      <c r="C16" s="75">
        <v>1</v>
      </c>
      <c r="D16" s="41">
        <v>100</v>
      </c>
      <c r="E16" s="42">
        <v>20</v>
      </c>
      <c r="F16" s="48">
        <f t="shared" si="0"/>
        <v>120</v>
      </c>
      <c r="G16" s="42">
        <v>40</v>
      </c>
      <c r="H16" s="43" cm="1">
        <f t="array" ref="H16">SUMPRODUCT((TRIM('Detailed Sales Report'!C$6:C$204) = B16) * 'Detailed Sales Report'!E$6:E$204)</f>
        <v>0</v>
      </c>
      <c r="I16" s="82">
        <f>SUMIF('Detailed Sales Report'!$C$18:$C$38,'Daily Sales Summary Report'!B16,'Detailed Sales Report'!$F$18:$F$38)</f>
        <v>0</v>
      </c>
      <c r="J16" s="87">
        <f>SUMIF('Detailed Sales Report'!$C$18:$C$38,'Daily Sales Summary Report'!B16,'Detailed Sales Report'!$G$18:$G$38)</f>
        <v>0</v>
      </c>
      <c r="K16" s="41">
        <f t="shared" si="1"/>
        <v>120</v>
      </c>
      <c r="L16" s="49"/>
    </row>
    <row r="17" spans="1:12" s="46" customFormat="1" ht="16" x14ac:dyDescent="0.2">
      <c r="A17" s="73">
        <v>13</v>
      </c>
      <c r="B17" s="74" t="s">
        <v>38</v>
      </c>
      <c r="C17" s="75">
        <v>1</v>
      </c>
      <c r="D17" s="41">
        <v>100</v>
      </c>
      <c r="E17" s="42">
        <v>20</v>
      </c>
      <c r="F17" s="48">
        <f t="shared" si="0"/>
        <v>120</v>
      </c>
      <c r="G17" s="42">
        <v>40</v>
      </c>
      <c r="H17" s="43" cm="1">
        <f t="array" ref="H17">SUMPRODUCT((TRIM('Detailed Sales Report'!C$6:C$204) = B17) * 'Detailed Sales Report'!E$6:E$204)</f>
        <v>0</v>
      </c>
      <c r="I17" s="82">
        <f>SUMIF('Detailed Sales Report'!$C$18:$C$38,'Daily Sales Summary Report'!B17,'Detailed Sales Report'!$F$18:$F$38)</f>
        <v>0</v>
      </c>
      <c r="J17" s="87">
        <f>SUMIF('Detailed Sales Report'!$C$18:$C$38,'Daily Sales Summary Report'!B17,'Detailed Sales Report'!$G$18:$G$38)</f>
        <v>0</v>
      </c>
      <c r="K17" s="41">
        <f t="shared" si="1"/>
        <v>120</v>
      </c>
      <c r="L17" s="49"/>
    </row>
    <row r="18" spans="1:12" s="46" customFormat="1" ht="16" x14ac:dyDescent="0.2">
      <c r="A18" s="76">
        <v>14</v>
      </c>
      <c r="B18" s="74" t="s">
        <v>39</v>
      </c>
      <c r="C18" s="75">
        <v>1</v>
      </c>
      <c r="D18" s="41">
        <v>100</v>
      </c>
      <c r="E18" s="42">
        <v>20</v>
      </c>
      <c r="F18" s="48">
        <f t="shared" si="0"/>
        <v>120</v>
      </c>
      <c r="G18" s="42">
        <v>40</v>
      </c>
      <c r="H18" s="43" cm="1">
        <f t="array" ref="H18">SUMPRODUCT((TRIM('Detailed Sales Report'!C$6:C$204) = B18) * 'Detailed Sales Report'!E$6:E$204)</f>
        <v>0</v>
      </c>
      <c r="I18" s="82">
        <f>SUMIF('Detailed Sales Report'!$C$18:$C$38,'Daily Sales Summary Report'!B18,'Detailed Sales Report'!$F$18:$F$38)</f>
        <v>0</v>
      </c>
      <c r="J18" s="87">
        <f>SUMIF('Detailed Sales Report'!$C$18:$C$38,'Daily Sales Summary Report'!B18,'Detailed Sales Report'!$G$18:$G$38)</f>
        <v>0</v>
      </c>
      <c r="K18" s="41">
        <f t="shared" si="1"/>
        <v>120</v>
      </c>
      <c r="L18" s="49"/>
    </row>
    <row r="19" spans="1:12" s="46" customFormat="1" ht="16" x14ac:dyDescent="0.2">
      <c r="A19" s="73">
        <v>15</v>
      </c>
      <c r="B19" s="74" t="s">
        <v>40</v>
      </c>
      <c r="C19" s="75">
        <v>1</v>
      </c>
      <c r="D19" s="41">
        <v>100</v>
      </c>
      <c r="E19" s="42">
        <v>20</v>
      </c>
      <c r="F19" s="48">
        <f t="shared" si="0"/>
        <v>120</v>
      </c>
      <c r="G19" s="42">
        <v>40</v>
      </c>
      <c r="H19" s="43" cm="1">
        <f t="array" ref="H19">SUMPRODUCT((TRIM('Detailed Sales Report'!C$6:C$204) = B19) * 'Detailed Sales Report'!E$6:E$204)</f>
        <v>0</v>
      </c>
      <c r="I19" s="82">
        <f>SUMIF('Detailed Sales Report'!$C$18:$C$38,'Daily Sales Summary Report'!B19,'Detailed Sales Report'!$F$18:$F$38)</f>
        <v>0</v>
      </c>
      <c r="J19" s="87">
        <f>SUMIF('Detailed Sales Report'!$C$18:$C$38,'Daily Sales Summary Report'!B19,'Detailed Sales Report'!$G$18:$G$38)</f>
        <v>0</v>
      </c>
      <c r="K19" s="41">
        <f t="shared" si="1"/>
        <v>120</v>
      </c>
      <c r="L19" s="49"/>
    </row>
    <row r="20" spans="1:12" s="46" customFormat="1" ht="16" x14ac:dyDescent="0.2">
      <c r="A20" s="76">
        <v>16</v>
      </c>
      <c r="B20" s="74" t="s">
        <v>41</v>
      </c>
      <c r="C20" s="75">
        <v>1</v>
      </c>
      <c r="D20" s="41">
        <v>100</v>
      </c>
      <c r="E20" s="42">
        <v>20</v>
      </c>
      <c r="F20" s="48">
        <f t="shared" si="0"/>
        <v>120</v>
      </c>
      <c r="G20" s="42">
        <v>40</v>
      </c>
      <c r="H20" s="43" cm="1">
        <f t="array" ref="H20">SUMPRODUCT((TRIM('Detailed Sales Report'!C$6:C$204) = B20) * 'Detailed Sales Report'!E$6:E$204)</f>
        <v>0</v>
      </c>
      <c r="I20" s="82">
        <f>SUMIF('Detailed Sales Report'!$C$18:$C$38,'Daily Sales Summary Report'!B20,'Detailed Sales Report'!$F$18:$F$38)</f>
        <v>0</v>
      </c>
      <c r="J20" s="87">
        <f>SUMIF('Detailed Sales Report'!$C$18:$C$38,'Daily Sales Summary Report'!B20,'Detailed Sales Report'!$G$18:$G$38)</f>
        <v>0</v>
      </c>
      <c r="K20" s="41">
        <f t="shared" si="1"/>
        <v>120</v>
      </c>
      <c r="L20" s="49"/>
    </row>
    <row r="21" spans="1:12" s="46" customFormat="1" ht="16" x14ac:dyDescent="0.2">
      <c r="A21" s="73">
        <v>17</v>
      </c>
      <c r="B21" s="74" t="s">
        <v>42</v>
      </c>
      <c r="C21" s="75">
        <v>1</v>
      </c>
      <c r="D21" s="41">
        <v>100</v>
      </c>
      <c r="E21" s="42">
        <v>20</v>
      </c>
      <c r="F21" s="48">
        <f t="shared" si="0"/>
        <v>120</v>
      </c>
      <c r="G21" s="42">
        <v>40</v>
      </c>
      <c r="H21" s="43" cm="1">
        <f t="array" ref="H21">SUMPRODUCT((TRIM('Detailed Sales Report'!C$6:C$204) = B21) * 'Detailed Sales Report'!E$6:E$204)</f>
        <v>0</v>
      </c>
      <c r="I21" s="82">
        <f>SUMIF('Detailed Sales Report'!$C$18:$C$38,'Daily Sales Summary Report'!B21,'Detailed Sales Report'!$F$18:$F$38)</f>
        <v>0</v>
      </c>
      <c r="J21" s="87">
        <f>SUMIF('Detailed Sales Report'!$C$18:$C$38,'Daily Sales Summary Report'!B21,'Detailed Sales Report'!$G$18:$G$38)</f>
        <v>0</v>
      </c>
      <c r="K21" s="41">
        <f t="shared" si="1"/>
        <v>120</v>
      </c>
      <c r="L21" s="49"/>
    </row>
    <row r="22" spans="1:12" s="46" customFormat="1" ht="16" x14ac:dyDescent="0.2">
      <c r="A22" s="76">
        <v>18</v>
      </c>
      <c r="B22" s="74" t="s">
        <v>43</v>
      </c>
      <c r="C22" s="75">
        <v>1</v>
      </c>
      <c r="D22" s="41">
        <v>100</v>
      </c>
      <c r="E22" s="42">
        <v>20</v>
      </c>
      <c r="F22" s="48">
        <f t="shared" si="0"/>
        <v>120</v>
      </c>
      <c r="G22" s="42">
        <v>40</v>
      </c>
      <c r="H22" s="43" cm="1">
        <f t="array" ref="H22">SUMPRODUCT((TRIM('Detailed Sales Report'!C$6:C$204) = B22) * 'Detailed Sales Report'!E$6:E$204)</f>
        <v>0</v>
      </c>
      <c r="I22" s="82">
        <f>SUMIF('Detailed Sales Report'!$C$18:$C$38,'Daily Sales Summary Report'!B22,'Detailed Sales Report'!$F$18:$F$38)</f>
        <v>0</v>
      </c>
      <c r="J22" s="87">
        <f>SUMIF('Detailed Sales Report'!$C$18:$C$38,'Daily Sales Summary Report'!B22,'Detailed Sales Report'!$G$18:$G$38)</f>
        <v>0</v>
      </c>
      <c r="K22" s="41">
        <f t="shared" si="1"/>
        <v>120</v>
      </c>
      <c r="L22" s="49"/>
    </row>
    <row r="23" spans="1:12" s="46" customFormat="1" ht="16" x14ac:dyDescent="0.2">
      <c r="A23" s="73">
        <v>19</v>
      </c>
      <c r="B23" s="74" t="s">
        <v>44</v>
      </c>
      <c r="C23" s="75">
        <v>1</v>
      </c>
      <c r="D23" s="41">
        <v>100</v>
      </c>
      <c r="E23" s="42">
        <v>20</v>
      </c>
      <c r="F23" s="48">
        <f t="shared" si="0"/>
        <v>120</v>
      </c>
      <c r="G23" s="42">
        <v>40</v>
      </c>
      <c r="H23" s="43" cm="1">
        <f t="array" ref="H23">SUMPRODUCT((TRIM('Detailed Sales Report'!C$6:C$204) = B23) * 'Detailed Sales Report'!E$6:E$204)</f>
        <v>0</v>
      </c>
      <c r="I23" s="82">
        <f>SUMIF('Detailed Sales Report'!$C$18:$C$38,'Daily Sales Summary Report'!B23,'Detailed Sales Report'!$F$18:$F$38)</f>
        <v>0</v>
      </c>
      <c r="J23" s="87">
        <f>SUMIF('Detailed Sales Report'!$C$18:$C$38,'Daily Sales Summary Report'!B23,'Detailed Sales Report'!$G$18:$G$38)</f>
        <v>0</v>
      </c>
      <c r="K23" s="41">
        <f t="shared" si="1"/>
        <v>120</v>
      </c>
      <c r="L23" s="49"/>
    </row>
    <row r="24" spans="1:12" s="46" customFormat="1" ht="16" x14ac:dyDescent="0.2">
      <c r="A24" s="76">
        <v>20</v>
      </c>
      <c r="B24" s="74" t="s">
        <v>45</v>
      </c>
      <c r="C24" s="75">
        <v>1</v>
      </c>
      <c r="D24" s="41">
        <v>100</v>
      </c>
      <c r="E24" s="42">
        <v>20</v>
      </c>
      <c r="F24" s="48">
        <f t="shared" si="0"/>
        <v>120</v>
      </c>
      <c r="G24" s="42">
        <v>40</v>
      </c>
      <c r="H24" s="43" cm="1">
        <f t="array" ref="H24">SUMPRODUCT((TRIM('Detailed Sales Report'!C$6:C$204) = B24) * 'Detailed Sales Report'!E$6:E$204)</f>
        <v>0</v>
      </c>
      <c r="I24" s="82">
        <f>SUMIF('Detailed Sales Report'!$C$18:$C$38,'Daily Sales Summary Report'!B24,'Detailed Sales Report'!$F$18:$F$38)</f>
        <v>0</v>
      </c>
      <c r="J24" s="87">
        <f>SUMIF('Detailed Sales Report'!$C$18:$C$38,'Daily Sales Summary Report'!B24,'Detailed Sales Report'!$G$18:$G$38)</f>
        <v>0</v>
      </c>
      <c r="K24" s="41">
        <f t="shared" si="1"/>
        <v>120</v>
      </c>
      <c r="L24" s="49"/>
    </row>
    <row r="25" spans="1:12" s="46" customFormat="1" ht="16" x14ac:dyDescent="0.2">
      <c r="A25" s="73">
        <v>21</v>
      </c>
      <c r="B25" s="74" t="s">
        <v>46</v>
      </c>
      <c r="C25" s="75">
        <v>1</v>
      </c>
      <c r="D25" s="41">
        <v>100</v>
      </c>
      <c r="E25" s="42">
        <v>20</v>
      </c>
      <c r="F25" s="48">
        <f t="shared" si="0"/>
        <v>120</v>
      </c>
      <c r="G25" s="42">
        <v>40</v>
      </c>
      <c r="H25" s="43" cm="1">
        <f t="array" ref="H25">SUMPRODUCT((TRIM('Detailed Sales Report'!C$6:C$204) = B25) * 'Detailed Sales Report'!E$6:E$204)</f>
        <v>0</v>
      </c>
      <c r="I25" s="82">
        <f>SUMIF('Detailed Sales Report'!$C$18:$C$38,'Daily Sales Summary Report'!B25,'Detailed Sales Report'!$F$18:$F$38)</f>
        <v>0</v>
      </c>
      <c r="J25" s="87">
        <f>SUMIF('Detailed Sales Report'!$C$18:$C$38,'Daily Sales Summary Report'!B25,'Detailed Sales Report'!$G$18:$G$38)</f>
        <v>0</v>
      </c>
      <c r="K25" s="41">
        <f t="shared" si="1"/>
        <v>120</v>
      </c>
      <c r="L25" s="49"/>
    </row>
    <row r="26" spans="1:12" s="46" customFormat="1" ht="16" x14ac:dyDescent="0.2">
      <c r="A26" s="76">
        <v>22</v>
      </c>
      <c r="B26" s="74"/>
      <c r="C26" s="75">
        <v>1</v>
      </c>
      <c r="D26" s="41"/>
      <c r="E26" s="42"/>
      <c r="F26" s="48">
        <f t="shared" si="0"/>
        <v>0</v>
      </c>
      <c r="G26" s="42">
        <v>40</v>
      </c>
      <c r="H26" s="43" cm="1">
        <f t="array" ref="H26">SUMPRODUCT((TRIM('Detailed Sales Report'!C$6:C$204) = B26) * 'Detailed Sales Report'!E$6:E$204)</f>
        <v>0</v>
      </c>
      <c r="I26" s="82">
        <f>SUMIF('Detailed Sales Report'!$C$18:$C$38,'Daily Sales Summary Report'!B26,'Detailed Sales Report'!$F$18:$F$38)</f>
        <v>0</v>
      </c>
      <c r="J26" s="87">
        <f>SUMIF('Detailed Sales Report'!$C$18:$C$38,'Daily Sales Summary Report'!B26,'Detailed Sales Report'!$G$18:$G$38)</f>
        <v>0</v>
      </c>
      <c r="K26" s="41">
        <f t="shared" si="1"/>
        <v>0</v>
      </c>
      <c r="L26" s="49"/>
    </row>
    <row r="27" spans="1:12" s="46" customFormat="1" ht="16" x14ac:dyDescent="0.2">
      <c r="A27" s="47">
        <v>22</v>
      </c>
      <c r="B27" s="50"/>
      <c r="C27" s="51"/>
      <c r="D27" s="44"/>
      <c r="E27" s="42"/>
      <c r="F27" s="48">
        <f t="shared" si="0"/>
        <v>0</v>
      </c>
      <c r="G27" s="42"/>
      <c r="H27" s="43" cm="1">
        <f t="array" ref="H27">SUMPRODUCT((TRIM('Detailed Sales Report'!C$6:C$204) = B27) * 'Detailed Sales Report'!E$6:E$204)</f>
        <v>0</v>
      </c>
      <c r="I27" s="82">
        <f>SUMIF('Detailed Sales Report'!$C$18:$C$38,'Daily Sales Summary Report'!B27,'Detailed Sales Report'!$F$18:$F$38)</f>
        <v>0</v>
      </c>
      <c r="J27" s="87">
        <f>SUMIF('Detailed Sales Report'!$C$18:$C$38,'Daily Sales Summary Report'!B27,'Detailed Sales Report'!$G$18:$G$38)</f>
        <v>0</v>
      </c>
      <c r="K27" s="41">
        <f t="shared" si="1"/>
        <v>0</v>
      </c>
      <c r="L27" s="49"/>
    </row>
    <row r="28" spans="1:12" s="46" customFormat="1" ht="16" x14ac:dyDescent="0.2">
      <c r="A28" s="40">
        <v>23</v>
      </c>
      <c r="B28" s="50"/>
      <c r="C28" s="51"/>
      <c r="D28" s="44"/>
      <c r="E28" s="42"/>
      <c r="F28" s="48">
        <f t="shared" si="0"/>
        <v>0</v>
      </c>
      <c r="G28" s="42"/>
      <c r="H28" s="43" cm="1">
        <f t="array" ref="H28">SUMPRODUCT((TRIM('Detailed Sales Report'!C$6:C$204) = B28) * 'Detailed Sales Report'!E$6:E$204)</f>
        <v>0</v>
      </c>
      <c r="I28" s="82">
        <f>SUMIF('Detailed Sales Report'!$C$18:$C$38,'Daily Sales Summary Report'!B28,'Detailed Sales Report'!$F$18:$F$38)</f>
        <v>0</v>
      </c>
      <c r="J28" s="87">
        <f>SUMIF('Detailed Sales Report'!$C$18:$C$38,'Daily Sales Summary Report'!B28,'Detailed Sales Report'!$G$18:$G$38)</f>
        <v>0</v>
      </c>
      <c r="K28" s="41">
        <f t="shared" si="1"/>
        <v>0</v>
      </c>
      <c r="L28" s="49"/>
    </row>
    <row r="29" spans="1:12" s="46" customFormat="1" ht="16" x14ac:dyDescent="0.2">
      <c r="A29" s="47">
        <v>24</v>
      </c>
      <c r="B29" s="50"/>
      <c r="C29" s="51"/>
      <c r="D29" s="44"/>
      <c r="E29" s="42"/>
      <c r="F29" s="48">
        <f t="shared" si="0"/>
        <v>0</v>
      </c>
      <c r="G29" s="42"/>
      <c r="H29" s="43" cm="1">
        <f t="array" ref="H29">SUMPRODUCT((TRIM('Detailed Sales Report'!C$6:C$204) = B29) * 'Detailed Sales Report'!E$6:E$204)</f>
        <v>0</v>
      </c>
      <c r="I29" s="82">
        <f>SUMIF('Detailed Sales Report'!$C$18:$C$38,'Daily Sales Summary Report'!B29,'Detailed Sales Report'!$F$18:$F$38)</f>
        <v>0</v>
      </c>
      <c r="J29" s="87">
        <f>SUMIF('Detailed Sales Report'!$C$18:$C$38,'Daily Sales Summary Report'!B29,'Detailed Sales Report'!$G$18:$G$38)</f>
        <v>0</v>
      </c>
      <c r="K29" s="41">
        <f t="shared" si="1"/>
        <v>0</v>
      </c>
      <c r="L29" s="49"/>
    </row>
    <row r="30" spans="1:12" s="46" customFormat="1" ht="16" x14ac:dyDescent="0.2">
      <c r="A30" s="40">
        <v>25</v>
      </c>
      <c r="B30" s="50"/>
      <c r="C30" s="71"/>
      <c r="D30" s="44">
        <v>0</v>
      </c>
      <c r="E30" s="44"/>
      <c r="F30" s="53">
        <f t="shared" si="0"/>
        <v>0</v>
      </c>
      <c r="G30" s="44"/>
      <c r="H30" s="43" cm="1">
        <f t="array" ref="H30">SUMPRODUCT((TRIM('Detailed Sales Report'!C$6:C$204) = B30) * 'Detailed Sales Report'!E$6:E$204)</f>
        <v>0</v>
      </c>
      <c r="I30" s="82">
        <f>SUMIF('Detailed Sales Report'!$C$18:$C$38,'Daily Sales Summary Report'!B30,'Detailed Sales Report'!$F$18:$F$38)</f>
        <v>0</v>
      </c>
      <c r="J30" s="87">
        <f>SUMIF('Detailed Sales Report'!$C$18:$C$38,'Daily Sales Summary Report'!B30,'Detailed Sales Report'!$G$18:$G$38)</f>
        <v>0</v>
      </c>
      <c r="K30" s="44">
        <f t="shared" si="1"/>
        <v>0</v>
      </c>
      <c r="L30" s="70"/>
    </row>
    <row r="31" spans="1:12" s="46" customFormat="1" ht="16" x14ac:dyDescent="0.2">
      <c r="A31" s="47">
        <v>26</v>
      </c>
      <c r="B31" s="50"/>
      <c r="C31" s="51"/>
      <c r="D31" s="44"/>
      <c r="E31" s="42"/>
      <c r="F31" s="48">
        <f t="shared" si="0"/>
        <v>0</v>
      </c>
      <c r="G31" s="42"/>
      <c r="H31" s="43" cm="1">
        <f t="array" ref="H31">SUMPRODUCT((TRIM('Detailed Sales Report'!C$6:C$204) = B31) * 'Detailed Sales Report'!E$6:E$204)</f>
        <v>0</v>
      </c>
      <c r="I31" s="82">
        <f>SUMIF('Detailed Sales Report'!$C$18:$C$38,'Daily Sales Summary Report'!B31,'Detailed Sales Report'!$F$18:$F$38)</f>
        <v>0</v>
      </c>
      <c r="J31" s="87">
        <f>SUMIF('Detailed Sales Report'!$C$18:$C$38,'Daily Sales Summary Report'!B31,'Detailed Sales Report'!$G$18:$G$38)</f>
        <v>0</v>
      </c>
      <c r="K31" s="41">
        <f t="shared" si="1"/>
        <v>0</v>
      </c>
      <c r="L31" s="49"/>
    </row>
    <row r="32" spans="1:12" s="46" customFormat="1" ht="16" x14ac:dyDescent="0.2">
      <c r="A32" s="40">
        <v>27</v>
      </c>
      <c r="B32" s="50"/>
      <c r="C32" s="51"/>
      <c r="D32" s="44"/>
      <c r="E32" s="42"/>
      <c r="F32" s="48">
        <f t="shared" si="0"/>
        <v>0</v>
      </c>
      <c r="G32" s="42"/>
      <c r="H32" s="43" cm="1">
        <f t="array" ref="H32">SUMPRODUCT((TRIM('Detailed Sales Report'!C$6:C$204) = B32) * 'Detailed Sales Report'!E$6:E$204)</f>
        <v>0</v>
      </c>
      <c r="I32" s="82">
        <f>SUMIF('Detailed Sales Report'!$C$18:$C$38,'Daily Sales Summary Report'!B32,'Detailed Sales Report'!$F$18:$F$38)</f>
        <v>0</v>
      </c>
      <c r="J32" s="87">
        <f>SUMIF('Detailed Sales Report'!$C$18:$C$38,'Daily Sales Summary Report'!B32,'Detailed Sales Report'!$G$18:$G$38)</f>
        <v>0</v>
      </c>
      <c r="K32" s="41">
        <f t="shared" si="1"/>
        <v>0</v>
      </c>
      <c r="L32" s="49"/>
    </row>
    <row r="33" spans="1:12" s="46" customFormat="1" ht="16" x14ac:dyDescent="0.2">
      <c r="A33" s="47">
        <v>28</v>
      </c>
      <c r="B33" s="50"/>
      <c r="C33" s="71"/>
      <c r="D33" s="44">
        <v>0</v>
      </c>
      <c r="E33" s="44"/>
      <c r="F33" s="53"/>
      <c r="G33" s="44"/>
      <c r="H33" s="43" cm="1">
        <f t="array" ref="H33">SUMPRODUCT((TRIM('Detailed Sales Report'!C$6:C$204) = B33) * 'Detailed Sales Report'!E$6:E$204)</f>
        <v>0</v>
      </c>
      <c r="I33" s="82">
        <f>SUMIF('Detailed Sales Report'!$C$18:$C$38,'Daily Sales Summary Report'!B33,'Detailed Sales Report'!$F$18:$F$38)</f>
        <v>0</v>
      </c>
      <c r="J33" s="87">
        <f>SUMIF('Detailed Sales Report'!$C$18:$C$38,'Daily Sales Summary Report'!B33,'Detailed Sales Report'!$G$18:$G$38)</f>
        <v>0</v>
      </c>
      <c r="K33" s="44">
        <f t="shared" si="1"/>
        <v>0</v>
      </c>
      <c r="L33" s="70"/>
    </row>
    <row r="34" spans="1:12" s="46" customFormat="1" ht="16" x14ac:dyDescent="0.2">
      <c r="A34" s="40">
        <v>29</v>
      </c>
      <c r="B34" s="50"/>
      <c r="C34" s="51"/>
      <c r="D34" s="44"/>
      <c r="E34" s="42"/>
      <c r="F34" s="48">
        <f t="shared" si="0"/>
        <v>0</v>
      </c>
      <c r="G34" s="42"/>
      <c r="H34" s="43" cm="1">
        <f t="array" ref="H34">SUMPRODUCT((TRIM('Detailed Sales Report'!C$6:C$204) = B34) * 'Detailed Sales Report'!E$6:E$204)</f>
        <v>0</v>
      </c>
      <c r="I34" s="82">
        <f>SUMIF('Detailed Sales Report'!$C$18:$C$38,'Daily Sales Summary Report'!B34,'Detailed Sales Report'!$F$18:$F$38)</f>
        <v>0</v>
      </c>
      <c r="J34" s="87">
        <f>SUMIF('Detailed Sales Report'!$C$18:$C$38,'Daily Sales Summary Report'!B34,'Detailed Sales Report'!$G$18:$G$38)</f>
        <v>0</v>
      </c>
      <c r="K34" s="41">
        <f t="shared" si="1"/>
        <v>0</v>
      </c>
      <c r="L34" s="49"/>
    </row>
    <row r="35" spans="1:12" s="46" customFormat="1" ht="16" x14ac:dyDescent="0.2">
      <c r="A35" s="47">
        <v>30</v>
      </c>
      <c r="B35" s="50"/>
      <c r="C35" s="51"/>
      <c r="D35" s="44"/>
      <c r="E35" s="42"/>
      <c r="F35" s="48">
        <f t="shared" si="0"/>
        <v>0</v>
      </c>
      <c r="G35" s="42"/>
      <c r="H35" s="43" cm="1">
        <f t="array" ref="H35">SUMPRODUCT((TRIM('Detailed Sales Report'!C$6:C$204) = B35) * 'Detailed Sales Report'!E$6:E$204)</f>
        <v>0</v>
      </c>
      <c r="I35" s="82">
        <f>SUMIF('Detailed Sales Report'!$C$18:$C$38,'Daily Sales Summary Report'!B35,'Detailed Sales Report'!$F$18:$F$38)</f>
        <v>0</v>
      </c>
      <c r="J35" s="87">
        <f>SUMIF('Detailed Sales Report'!$C$18:$C$38,'Daily Sales Summary Report'!B35,'Detailed Sales Report'!$G$18:$G$38)</f>
        <v>0</v>
      </c>
      <c r="K35" s="41">
        <f t="shared" si="1"/>
        <v>0</v>
      </c>
      <c r="L35" s="49"/>
    </row>
    <row r="36" spans="1:12" s="46" customFormat="1" ht="16" x14ac:dyDescent="0.2">
      <c r="A36" s="40">
        <v>31</v>
      </c>
      <c r="B36" s="50"/>
      <c r="C36" s="51"/>
      <c r="D36" s="44"/>
      <c r="E36" s="42"/>
      <c r="F36" s="48">
        <f t="shared" si="0"/>
        <v>0</v>
      </c>
      <c r="G36" s="42"/>
      <c r="H36" s="43" cm="1">
        <f t="array" ref="H36">SUMPRODUCT((TRIM('Detailed Sales Report'!C$6:C$204) = B36) * 'Detailed Sales Report'!E$6:E$204)</f>
        <v>0</v>
      </c>
      <c r="I36" s="82">
        <f>SUMIF('Detailed Sales Report'!$C$18:$C$38,'Daily Sales Summary Report'!B36,'Detailed Sales Report'!$F$18:$F$38)</f>
        <v>0</v>
      </c>
      <c r="J36" s="87">
        <f>SUMIF('Detailed Sales Report'!$C$18:$C$38,'Daily Sales Summary Report'!B36,'Detailed Sales Report'!$G$18:$G$38)</f>
        <v>0</v>
      </c>
      <c r="K36" s="41">
        <f t="shared" si="1"/>
        <v>0</v>
      </c>
      <c r="L36" s="49"/>
    </row>
    <row r="37" spans="1:12" s="46" customFormat="1" ht="16" x14ac:dyDescent="0.2">
      <c r="A37" s="40">
        <v>32</v>
      </c>
      <c r="B37" s="50"/>
      <c r="C37" s="51"/>
      <c r="D37" s="44"/>
      <c r="E37" s="42"/>
      <c r="F37" s="48">
        <f t="shared" si="0"/>
        <v>0</v>
      </c>
      <c r="G37" s="42"/>
      <c r="H37" s="43" cm="1">
        <f t="array" ref="H37">SUMPRODUCT((TRIM('Detailed Sales Report'!C$6:C$204) = B37) * 'Detailed Sales Report'!E$6:E$204)</f>
        <v>0</v>
      </c>
      <c r="I37" s="82">
        <f>SUMIF('Detailed Sales Report'!$C$18:$C$38,'Daily Sales Summary Report'!B37,'Detailed Sales Report'!$F$18:$F$38)</f>
        <v>0</v>
      </c>
      <c r="J37" s="87">
        <f>SUMIF('Detailed Sales Report'!$C$18:$C$38,'Daily Sales Summary Report'!B37,'Detailed Sales Report'!$G$18:$G$38)</f>
        <v>0</v>
      </c>
      <c r="K37" s="41">
        <f t="shared" si="1"/>
        <v>0</v>
      </c>
      <c r="L37" s="49"/>
    </row>
    <row r="38" spans="1:12" s="46" customFormat="1" ht="16" x14ac:dyDescent="0.2">
      <c r="A38" s="47">
        <v>33</v>
      </c>
      <c r="B38" s="50"/>
      <c r="C38" s="51"/>
      <c r="D38" s="44"/>
      <c r="E38" s="42"/>
      <c r="F38" s="48">
        <f t="shared" si="0"/>
        <v>0</v>
      </c>
      <c r="G38" s="42"/>
      <c r="H38" s="43" cm="1">
        <f t="array" ref="H38">SUMPRODUCT((TRIM('Detailed Sales Report'!C$6:C$204) = B38) * 'Detailed Sales Report'!E$6:E$204)</f>
        <v>0</v>
      </c>
      <c r="I38" s="82">
        <f>SUMIF('Detailed Sales Report'!$C$18:$C$38,'Daily Sales Summary Report'!B38,'Detailed Sales Report'!$F$18:$F$38)</f>
        <v>0</v>
      </c>
      <c r="J38" s="87">
        <f>SUMIF('Detailed Sales Report'!$C$18:$C$38,'Daily Sales Summary Report'!B38,'Detailed Sales Report'!$G$18:$G$38)</f>
        <v>0</v>
      </c>
      <c r="K38" s="41">
        <f t="shared" si="1"/>
        <v>0</v>
      </c>
      <c r="L38" s="49"/>
    </row>
    <row r="39" spans="1:12" s="46" customFormat="1" ht="16" x14ac:dyDescent="0.2">
      <c r="A39" s="40">
        <v>34</v>
      </c>
      <c r="B39" s="50"/>
      <c r="C39" s="51"/>
      <c r="D39" s="44"/>
      <c r="E39" s="42"/>
      <c r="F39" s="48">
        <f t="shared" si="0"/>
        <v>0</v>
      </c>
      <c r="G39" s="42"/>
      <c r="H39" s="43" cm="1">
        <f t="array" ref="H39">SUMPRODUCT((TRIM('Detailed Sales Report'!C$6:C$204) = B39) * 'Detailed Sales Report'!E$6:E$204)</f>
        <v>0</v>
      </c>
      <c r="I39" s="82">
        <f>SUMIF('Detailed Sales Report'!$C$18:$C$38,'Daily Sales Summary Report'!B39,'Detailed Sales Report'!$F$18:$F$38)</f>
        <v>0</v>
      </c>
      <c r="J39" s="87">
        <f>SUMIF('Detailed Sales Report'!$C$18:$C$38,'Daily Sales Summary Report'!B39,'Detailed Sales Report'!$G$18:$G$38)</f>
        <v>0</v>
      </c>
      <c r="K39" s="41">
        <f t="shared" si="1"/>
        <v>0</v>
      </c>
      <c r="L39" s="49"/>
    </row>
    <row r="40" spans="1:12" s="46" customFormat="1" ht="16" x14ac:dyDescent="0.2">
      <c r="A40" s="40">
        <v>35</v>
      </c>
      <c r="B40" s="50"/>
      <c r="C40" s="51"/>
      <c r="D40" s="44"/>
      <c r="E40" s="42"/>
      <c r="F40" s="48">
        <f t="shared" si="0"/>
        <v>0</v>
      </c>
      <c r="G40" s="42"/>
      <c r="H40" s="43" cm="1">
        <f t="array" ref="H40">SUMPRODUCT((TRIM('Detailed Sales Report'!C$6:C$204) = B40) * 'Detailed Sales Report'!E$6:E$204)</f>
        <v>0</v>
      </c>
      <c r="I40" s="82">
        <f>SUMIF('Detailed Sales Report'!$C$18:$C$38,'Daily Sales Summary Report'!B40,'Detailed Sales Report'!$F$18:$F$38)</f>
        <v>0</v>
      </c>
      <c r="J40" s="87">
        <f>SUMIF('Detailed Sales Report'!$C$18:$C$38,'Daily Sales Summary Report'!B40,'Detailed Sales Report'!$G$18:$G$38)</f>
        <v>0</v>
      </c>
      <c r="K40" s="41">
        <f t="shared" si="1"/>
        <v>0</v>
      </c>
      <c r="L40" s="49"/>
    </row>
    <row r="41" spans="1:12" s="46" customFormat="1" ht="16" x14ac:dyDescent="0.2">
      <c r="A41" s="47">
        <v>36</v>
      </c>
      <c r="B41" s="50"/>
      <c r="C41" s="51"/>
      <c r="D41" s="44"/>
      <c r="E41" s="42"/>
      <c r="F41" s="48">
        <f t="shared" si="0"/>
        <v>0</v>
      </c>
      <c r="G41" s="42"/>
      <c r="H41" s="43" cm="1">
        <f t="array" ref="H41">SUMPRODUCT((TRIM('Detailed Sales Report'!C$6:C$204) = B41) * 'Detailed Sales Report'!E$6:E$204)</f>
        <v>0</v>
      </c>
      <c r="I41" s="82">
        <f>SUMIF('Detailed Sales Report'!$C$18:$C$38,'Daily Sales Summary Report'!B41,'Detailed Sales Report'!$F$18:$F$38)</f>
        <v>0</v>
      </c>
      <c r="J41" s="87">
        <f>SUMIF('Detailed Sales Report'!$C$18:$C$38,'Daily Sales Summary Report'!B41,'Detailed Sales Report'!$G$18:$G$38)</f>
        <v>0</v>
      </c>
      <c r="K41" s="41">
        <f t="shared" si="1"/>
        <v>0</v>
      </c>
      <c r="L41" s="49"/>
    </row>
    <row r="42" spans="1:12" s="46" customFormat="1" ht="16" x14ac:dyDescent="0.2">
      <c r="A42" s="40">
        <v>37</v>
      </c>
      <c r="B42" s="50"/>
      <c r="C42" s="51"/>
      <c r="D42" s="44"/>
      <c r="E42" s="42"/>
      <c r="F42" s="48">
        <f t="shared" si="0"/>
        <v>0</v>
      </c>
      <c r="G42" s="42"/>
      <c r="H42" s="43" cm="1">
        <f t="array" ref="H42">SUMPRODUCT((TRIM('Detailed Sales Report'!C$6:C$204) = B42) * 'Detailed Sales Report'!E$6:E$204)</f>
        <v>0</v>
      </c>
      <c r="I42" s="82">
        <f>SUMIF('Detailed Sales Report'!$C$18:$C$38,'Daily Sales Summary Report'!B42,'Detailed Sales Report'!$F$18:$F$38)</f>
        <v>0</v>
      </c>
      <c r="J42" s="87">
        <f>SUMIF('Detailed Sales Report'!$C$18:$C$38,'Daily Sales Summary Report'!B42,'Detailed Sales Report'!$G$18:$G$38)</f>
        <v>0</v>
      </c>
      <c r="K42" s="41">
        <f t="shared" si="1"/>
        <v>0</v>
      </c>
      <c r="L42" s="49"/>
    </row>
    <row r="43" spans="1:12" s="46" customFormat="1" ht="16" x14ac:dyDescent="0.2">
      <c r="A43" s="40">
        <v>38</v>
      </c>
      <c r="B43" s="50"/>
      <c r="C43" s="52"/>
      <c r="D43" s="53"/>
      <c r="E43" s="54">
        <v>0</v>
      </c>
      <c r="F43" s="48">
        <f t="shared" si="0"/>
        <v>0</v>
      </c>
      <c r="G43" s="54"/>
      <c r="H43" s="43" cm="1">
        <f t="array" ref="H43">SUMPRODUCT((TRIM('Detailed Sales Report'!C$6:C$204) = B43) * 'Detailed Sales Report'!E$6:E$204)</f>
        <v>0</v>
      </c>
      <c r="I43" s="82">
        <f>SUMIF('Detailed Sales Report'!$C$18:$C$38,'Daily Sales Summary Report'!B43,'Detailed Sales Report'!$F$18:$F$38)</f>
        <v>0</v>
      </c>
      <c r="J43" s="87">
        <f>SUMIF('Detailed Sales Report'!$C$18:$C$38,'Daily Sales Summary Report'!B43,'Detailed Sales Report'!$G$18:$G$38)</f>
        <v>0</v>
      </c>
      <c r="K43" s="41">
        <f t="shared" si="1"/>
        <v>0</v>
      </c>
      <c r="L43" s="49"/>
    </row>
    <row r="44" spans="1:12" s="46" customFormat="1" ht="16" x14ac:dyDescent="0.2">
      <c r="A44" s="47">
        <v>39</v>
      </c>
      <c r="B44" s="50"/>
      <c r="C44" s="52"/>
      <c r="D44" s="53"/>
      <c r="E44" s="54"/>
      <c r="F44" s="48">
        <f t="shared" si="0"/>
        <v>0</v>
      </c>
      <c r="G44" s="54"/>
      <c r="H44" s="43" cm="1">
        <f t="array" ref="H44">SUMPRODUCT((TRIM('Detailed Sales Report'!C$6:C$204) = B44) * 'Detailed Sales Report'!E$6:E$204)</f>
        <v>0</v>
      </c>
      <c r="I44" s="82">
        <f>SUMIF('Detailed Sales Report'!$C$18:$C$38,'Daily Sales Summary Report'!B44,'Detailed Sales Report'!$F$18:$F$38)</f>
        <v>0</v>
      </c>
      <c r="J44" s="87">
        <f>SUMIF('Detailed Sales Report'!$C$18:$C$38,'Daily Sales Summary Report'!B44,'Detailed Sales Report'!$G$18:$G$38)</f>
        <v>0</v>
      </c>
      <c r="K44" s="41">
        <f t="shared" si="1"/>
        <v>0</v>
      </c>
      <c r="L44" s="49"/>
    </row>
    <row r="45" spans="1:12" s="46" customFormat="1" ht="16" x14ac:dyDescent="0.2">
      <c r="A45" s="40">
        <v>40</v>
      </c>
      <c r="B45" s="50"/>
      <c r="C45" s="52"/>
      <c r="D45" s="53"/>
      <c r="E45" s="54"/>
      <c r="F45" s="48">
        <f t="shared" si="0"/>
        <v>0</v>
      </c>
      <c r="G45" s="54"/>
      <c r="H45" s="43" cm="1">
        <f t="array" ref="H45">SUMPRODUCT((TRIM('Detailed Sales Report'!C$6:C$204) = B45) * 'Detailed Sales Report'!E$6:E$204)</f>
        <v>0</v>
      </c>
      <c r="I45" s="82">
        <f>SUMIF('Detailed Sales Report'!$C$18:$C$38,'Daily Sales Summary Report'!B45,'Detailed Sales Report'!$F$18:$F$38)</f>
        <v>0</v>
      </c>
      <c r="J45" s="87">
        <f>SUMIF('Detailed Sales Report'!$C$18:$C$38,'Daily Sales Summary Report'!B45,'Detailed Sales Report'!$G$18:$G$38)</f>
        <v>0</v>
      </c>
      <c r="K45" s="41">
        <f t="shared" si="1"/>
        <v>0</v>
      </c>
      <c r="L45" s="49"/>
    </row>
    <row r="46" spans="1:12" s="46" customFormat="1" ht="16" x14ac:dyDescent="0.2">
      <c r="A46" s="40">
        <v>41</v>
      </c>
      <c r="B46" s="50"/>
      <c r="C46" s="72"/>
      <c r="D46" s="53">
        <v>0</v>
      </c>
      <c r="E46" s="53"/>
      <c r="F46" s="53">
        <f t="shared" si="0"/>
        <v>0</v>
      </c>
      <c r="G46" s="53"/>
      <c r="H46" s="43" cm="1">
        <f t="array" ref="H46">SUMPRODUCT((TRIM('Detailed Sales Report'!C$6:C$204) = B46) * 'Detailed Sales Report'!E$6:E$204)</f>
        <v>0</v>
      </c>
      <c r="I46" s="82">
        <f>SUMIF('Detailed Sales Report'!$C$18:$C$38,'Daily Sales Summary Report'!B46,'Detailed Sales Report'!$F$18:$F$38)</f>
        <v>0</v>
      </c>
      <c r="J46" s="87">
        <f>SUMIF('Detailed Sales Report'!$C$18:$C$38,'Daily Sales Summary Report'!B46,'Detailed Sales Report'!$G$18:$G$38)</f>
        <v>0</v>
      </c>
      <c r="K46" s="44">
        <f t="shared" si="1"/>
        <v>0</v>
      </c>
      <c r="L46" s="70"/>
    </row>
    <row r="47" spans="1:12" s="46" customFormat="1" ht="17" thickBot="1" x14ac:dyDescent="0.25">
      <c r="A47" s="47">
        <v>42</v>
      </c>
      <c r="B47" s="50"/>
      <c r="C47" s="52"/>
      <c r="D47" s="53"/>
      <c r="E47" s="54"/>
      <c r="F47" s="48"/>
      <c r="G47" s="54"/>
      <c r="H47" s="43" cm="1">
        <f t="array" ref="H47">SUMPRODUCT((TRIM('Detailed Sales Report'!C$6:C$204) = B47) * 'Detailed Sales Report'!E$6:E$204)</f>
        <v>0</v>
      </c>
      <c r="I47" s="82">
        <f>SUMIF('Detailed Sales Report'!$C$18:$C$38,'Daily Sales Summary Report'!B47,'Detailed Sales Report'!$F$18:$F$38)</f>
        <v>0</v>
      </c>
      <c r="J47" s="87">
        <f>SUMIF('Detailed Sales Report'!$C$18:$C$38,'Daily Sales Summary Report'!B47,'Detailed Sales Report'!$G$18:$G$38)</f>
        <v>0</v>
      </c>
      <c r="K47" s="41">
        <f t="shared" si="1"/>
        <v>0</v>
      </c>
      <c r="L47" s="49"/>
    </row>
    <row r="48" spans="1:12" ht="36" thickBot="1" x14ac:dyDescent="0.3">
      <c r="C48" s="55" t="s">
        <v>25</v>
      </c>
      <c r="D48" s="56"/>
      <c r="E48" s="56"/>
      <c r="F48" s="56"/>
      <c r="G48" s="56"/>
      <c r="H48" s="56"/>
      <c r="I48" s="57">
        <f>SUM(I6:I47)</f>
        <v>0</v>
      </c>
      <c r="J48" s="87">
        <f>SUMIF('Detailed Sales Report'!$C$18:$C$38,'Daily Sales Summary Report'!B48,'Detailed Sales Report'!$G$18:$G$38)</f>
        <v>0</v>
      </c>
      <c r="K48" s="58">
        <f t="shared" si="1"/>
        <v>0</v>
      </c>
    </row>
    <row r="49" spans="2:12" ht="16" x14ac:dyDescent="0.2">
      <c r="B49" s="59" t="s">
        <v>20</v>
      </c>
      <c r="D49" s="27"/>
      <c r="K49" s="41">
        <f t="shared" si="1"/>
        <v>0</v>
      </c>
    </row>
    <row r="50" spans="2:12" ht="16" thickBot="1" x14ac:dyDescent="0.25">
      <c r="B50" s="27"/>
      <c r="D50" s="27"/>
    </row>
    <row r="51" spans="2:12" ht="16" x14ac:dyDescent="0.2">
      <c r="B51" s="59" t="s">
        <v>21</v>
      </c>
      <c r="C51" s="60"/>
      <c r="D51" s="27"/>
      <c r="H51" s="61" t="s">
        <v>22</v>
      </c>
      <c r="I51" s="62"/>
      <c r="J51" s="88"/>
      <c r="K51" s="62"/>
      <c r="L51" s="63"/>
    </row>
    <row r="52" spans="2:12" x14ac:dyDescent="0.2">
      <c r="C52" s="60"/>
      <c r="H52" s="64"/>
      <c r="I52" s="60"/>
      <c r="J52" s="89"/>
      <c r="K52" s="60"/>
      <c r="L52" s="65"/>
    </row>
    <row r="53" spans="2:12" x14ac:dyDescent="0.2">
      <c r="C53" s="60"/>
      <c r="H53" s="64"/>
      <c r="I53" s="60"/>
      <c r="J53" s="89"/>
      <c r="K53" s="60"/>
      <c r="L53" s="65"/>
    </row>
    <row r="54" spans="2:12" x14ac:dyDescent="0.2">
      <c r="C54" s="60"/>
      <c r="H54" s="64"/>
      <c r="I54" s="60"/>
      <c r="J54" s="89"/>
      <c r="K54" s="60"/>
      <c r="L54" s="65"/>
    </row>
    <row r="55" spans="2:12" x14ac:dyDescent="0.2">
      <c r="C55" s="60"/>
      <c r="H55" s="64"/>
      <c r="I55" s="60"/>
      <c r="J55" s="89"/>
      <c r="K55" s="60"/>
      <c r="L55" s="65"/>
    </row>
    <row r="56" spans="2:12" x14ac:dyDescent="0.2">
      <c r="C56" s="60"/>
      <c r="H56" s="64"/>
      <c r="I56" s="60"/>
      <c r="J56" s="89"/>
      <c r="K56" s="60"/>
      <c r="L56" s="65"/>
    </row>
    <row r="57" spans="2:12" x14ac:dyDescent="0.2">
      <c r="C57" s="60"/>
      <c r="H57" s="64"/>
      <c r="I57" s="60"/>
      <c r="J57" s="89"/>
      <c r="K57" s="60"/>
      <c r="L57" s="65"/>
    </row>
    <row r="58" spans="2:12" x14ac:dyDescent="0.2">
      <c r="C58" s="60"/>
      <c r="H58" s="64"/>
      <c r="I58" s="60"/>
      <c r="J58" s="89"/>
      <c r="K58" s="60"/>
      <c r="L58" s="66" t="s">
        <v>23</v>
      </c>
    </row>
    <row r="59" spans="2:12" ht="16" thickBot="1" x14ac:dyDescent="0.25">
      <c r="C59" s="60"/>
      <c r="H59" s="67"/>
      <c r="I59" s="68"/>
      <c r="J59" s="90"/>
      <c r="K59" s="68"/>
      <c r="L59" s="69" t="s">
        <v>24</v>
      </c>
    </row>
  </sheetData>
  <sheetProtection algorithmName="SHA-512" hashValue="oBYacsLAx/1xOvBiUv6GUOEG374/uA7NTuF72bJLpH4791IqLQErW8z4kAivFDggZH+6rnrDHJOZfN4zvl8rNg==" saltValue="Pxo+S5LyA7i869XYR0kRhw==" spinCount="100000" sheet="1" objects="1" scenarios="1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Detailed Sales Report</vt:lpstr>
      <vt:lpstr>Daily Sales Summary Report</vt:lpstr>
      <vt:lpstr>_Namelist1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</dc:creator>
  <cp:lastModifiedBy>Livingstone Selasi Dussey</cp:lastModifiedBy>
  <dcterms:created xsi:type="dcterms:W3CDTF">2024-06-06T11:45:45Z</dcterms:created>
  <dcterms:modified xsi:type="dcterms:W3CDTF">2025-11-07T17:16:22Z</dcterms:modified>
</cp:coreProperties>
</file>